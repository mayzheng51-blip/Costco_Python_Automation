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ayzheng0303/Documents/Costco_Python_Automation/outputs/"/>
    </mc:Choice>
  </mc:AlternateContent>
  <xr:revisionPtr revIDLastSave="0" documentId="8_{6CDF2738-75EB-CF40-BA3C-EEE2A0909A7C}" xr6:coauthVersionLast="47" xr6:coauthVersionMax="47" xr10:uidLastSave="{00000000-0000-0000-0000-000000000000}"/>
  <bookViews>
    <workbookView xWindow="12200" yWindow="760" windowWidth="17200" windowHeight="16900" activeTab="3" xr2:uid="{00000000-000D-0000-FFFF-FFFF00000000}"/>
  </bookViews>
  <sheets>
    <sheet name="Cover" sheetId="1" r:id="rId1"/>
    <sheet name="Assumptions" sheetId="2" r:id="rId2"/>
    <sheet name="Historical Finances" sheetId="3" r:id="rId3"/>
    <sheet name="Revenue Model" sheetId="4" r:id="rId4"/>
    <sheet name="Drivers &amp; Cost Structure" sheetId="5" r:id="rId5"/>
    <sheet name="Cost Margin" sheetId="6" r:id="rId6"/>
    <sheet name="3-Statement Model" sheetId="7" r:id="rId7"/>
    <sheet name="DCF Valuation" sheetId="8" r:id="rId8"/>
    <sheet name="Sensitivity" sheetId="9" r:id="rId9"/>
    <sheet name="Executive Dashboard" sheetId="10" r:id="rId10"/>
    <sheet name="Tableau Export" sheetId="11" r:id="rId11"/>
  </sheets>
  <definedNames>
    <definedName name="Capex_Pct">Assumptions!$B$21</definedName>
    <definedName name="COGS_Pct">Assumptions!$B$14</definedName>
    <definedName name="Opex_Pct">Assumptions!$B$15</definedName>
    <definedName name="Rev_Growth_Base">Assumptions!$B$6</definedName>
    <definedName name="Rev_Growth_Bear">Assumptions!$B$8</definedName>
    <definedName name="Rev_Growth_Bull">Assumptions!$B$7</definedName>
    <definedName name="Tax_Rate">Assumptions!$B$19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8" l="1"/>
  <c r="I5" i="2"/>
  <c r="B11" i="2" s="1"/>
  <c r="B5" i="8"/>
  <c r="B3" i="11"/>
  <c r="B4" i="11"/>
  <c r="B5" i="11"/>
  <c r="B6" i="11"/>
  <c r="B2" i="11"/>
  <c r="B1" i="5"/>
  <c r="E12" i="5" s="1"/>
  <c r="B15" i="2" s="1"/>
  <c r="H7" i="10"/>
  <c r="H4" i="10"/>
  <c r="B16" i="2"/>
  <c r="E11" i="5" l="1"/>
  <c r="B14" i="2" s="1"/>
  <c r="E7" i="5"/>
  <c r="G40" i="4" s="1"/>
  <c r="G38" i="4" s="1"/>
  <c r="E6" i="5"/>
  <c r="E21" i="2"/>
  <c r="B40" i="8"/>
  <c r="B39" i="8"/>
  <c r="B41" i="8" s="1"/>
  <c r="B38" i="8"/>
  <c r="B13" i="8"/>
  <c r="B8" i="8"/>
  <c r="B7" i="8"/>
  <c r="B9" i="8" s="1"/>
  <c r="B4" i="8"/>
  <c r="B3" i="8"/>
  <c r="B6" i="8" s="1"/>
  <c r="F41" i="7"/>
  <c r="G41" i="7" s="1"/>
  <c r="E41" i="7"/>
  <c r="D41" i="7"/>
  <c r="C41" i="7"/>
  <c r="B41" i="7"/>
  <c r="F38" i="7"/>
  <c r="E38" i="7"/>
  <c r="D38" i="7"/>
  <c r="C38" i="7"/>
  <c r="B38" i="7"/>
  <c r="F37" i="7"/>
  <c r="E37" i="7"/>
  <c r="D37" i="7"/>
  <c r="C37" i="7"/>
  <c r="B37" i="7"/>
  <c r="F30" i="7"/>
  <c r="G29" i="7" s="1"/>
  <c r="E30" i="7"/>
  <c r="E36" i="7" s="1"/>
  <c r="D30" i="7"/>
  <c r="D36" i="7" s="1"/>
  <c r="C30" i="7"/>
  <c r="C36" i="7" s="1"/>
  <c r="B30" i="7"/>
  <c r="B36" i="7" s="1"/>
  <c r="F29" i="7"/>
  <c r="E29" i="7"/>
  <c r="D29" i="7"/>
  <c r="C29" i="7"/>
  <c r="B29" i="7"/>
  <c r="F25" i="7"/>
  <c r="E25" i="7"/>
  <c r="D25" i="7"/>
  <c r="C25" i="7"/>
  <c r="B25" i="7"/>
  <c r="B21" i="7"/>
  <c r="F9" i="7"/>
  <c r="E9" i="7"/>
  <c r="E7" i="6" s="1"/>
  <c r="D9" i="7"/>
  <c r="D7" i="6" s="1"/>
  <c r="C9" i="7"/>
  <c r="C7" i="6" s="1"/>
  <c r="F7" i="7"/>
  <c r="E7" i="7"/>
  <c r="E5" i="6" s="1"/>
  <c r="D7" i="7"/>
  <c r="D5" i="6" s="1"/>
  <c r="C7" i="7"/>
  <c r="C5" i="6" s="1"/>
  <c r="B7" i="7"/>
  <c r="B5" i="6" s="1"/>
  <c r="D6" i="7"/>
  <c r="D8" i="7" s="1"/>
  <c r="D10" i="7" s="1"/>
  <c r="C6" i="7"/>
  <c r="C4" i="6" s="1"/>
  <c r="F7" i="6"/>
  <c r="F5" i="6"/>
  <c r="F38" i="4"/>
  <c r="E38" i="4"/>
  <c r="E6" i="7" s="1"/>
  <c r="D38" i="4"/>
  <c r="C38" i="4"/>
  <c r="B38" i="4"/>
  <c r="B6" i="7" s="1"/>
  <c r="B6" i="4"/>
  <c r="E6" i="4" s="1"/>
  <c r="E5" i="4"/>
  <c r="D5" i="4"/>
  <c r="C5" i="4"/>
  <c r="B5" i="4"/>
  <c r="E4" i="4"/>
  <c r="B4" i="4"/>
  <c r="B3" i="4"/>
  <c r="E2" i="4"/>
  <c r="B2" i="4"/>
  <c r="F90" i="3"/>
  <c r="E90" i="3"/>
  <c r="D90" i="3"/>
  <c r="C90" i="3"/>
  <c r="B90" i="3"/>
  <c r="F86" i="3"/>
  <c r="E86" i="3"/>
  <c r="D86" i="3"/>
  <c r="C86" i="3"/>
  <c r="B86" i="3"/>
  <c r="F73" i="3"/>
  <c r="E73" i="3"/>
  <c r="D73" i="3"/>
  <c r="C73" i="3"/>
  <c r="B73" i="3"/>
  <c r="F66" i="3"/>
  <c r="E66" i="3"/>
  <c r="D66" i="3"/>
  <c r="C66" i="3"/>
  <c r="B66" i="3"/>
  <c r="F51" i="3"/>
  <c r="E51" i="3"/>
  <c r="D51" i="3"/>
  <c r="C51" i="3"/>
  <c r="B51" i="3"/>
  <c r="F43" i="3"/>
  <c r="F53" i="3" s="1"/>
  <c r="E43" i="3"/>
  <c r="E53" i="3" s="1"/>
  <c r="D43" i="3"/>
  <c r="C43" i="3"/>
  <c r="B43" i="3"/>
  <c r="B53" i="3" s="1"/>
  <c r="F31" i="3"/>
  <c r="E31" i="3"/>
  <c r="D31" i="3"/>
  <c r="C31" i="3"/>
  <c r="F26" i="3"/>
  <c r="E26" i="3"/>
  <c r="D26" i="3"/>
  <c r="C26" i="3"/>
  <c r="B26" i="3"/>
  <c r="B31" i="3" s="1"/>
  <c r="F9" i="3"/>
  <c r="F11" i="3" s="1"/>
  <c r="F13" i="3" s="1"/>
  <c r="E9" i="3"/>
  <c r="E11" i="3" s="1"/>
  <c r="E13" i="3" s="1"/>
  <c r="D9" i="3"/>
  <c r="D11" i="3" s="1"/>
  <c r="D13" i="3" s="1"/>
  <c r="C9" i="3"/>
  <c r="C11" i="3" s="1"/>
  <c r="C13" i="3" s="1"/>
  <c r="F7" i="3"/>
  <c r="E7" i="3"/>
  <c r="D7" i="3"/>
  <c r="C7" i="3"/>
  <c r="B7" i="3"/>
  <c r="B9" i="3" s="1"/>
  <c r="B11" i="3" s="1"/>
  <c r="B13" i="3" s="1"/>
  <c r="B4" i="9" l="1"/>
  <c r="H13" i="8" s="1"/>
  <c r="H6" i="10"/>
  <c r="B12" i="8"/>
  <c r="G6" i="7"/>
  <c r="G9" i="7" s="1"/>
  <c r="C2" i="11"/>
  <c r="C6" i="6"/>
  <c r="C9" i="6" s="1"/>
  <c r="J40" i="4"/>
  <c r="K40" i="4"/>
  <c r="J41" i="7"/>
  <c r="D39" i="7"/>
  <c r="K41" i="7"/>
  <c r="B39" i="7"/>
  <c r="H41" i="7"/>
  <c r="C39" i="7"/>
  <c r="C42" i="7" s="1"/>
  <c r="C43" i="7" s="1"/>
  <c r="I41" i="7"/>
  <c r="E39" i="7"/>
  <c r="D8" i="6"/>
  <c r="D53" i="3"/>
  <c r="D4" i="4"/>
  <c r="C4" i="4"/>
  <c r="E3" i="4"/>
  <c r="D3" i="4"/>
  <c r="C3" i="4"/>
  <c r="E21" i="7"/>
  <c r="E11" i="7"/>
  <c r="E20" i="7" s="1"/>
  <c r="E8" i="7"/>
  <c r="E10" i="7" s="1"/>
  <c r="E4" i="6"/>
  <c r="E6" i="6" s="1"/>
  <c r="E9" i="6" s="1"/>
  <c r="F6" i="7"/>
  <c r="B42" i="7"/>
  <c r="B43" i="7" s="1"/>
  <c r="B44" i="7" s="1"/>
  <c r="B4" i="6"/>
  <c r="B6" i="6" s="1"/>
  <c r="B9" i="6" s="1"/>
  <c r="B11" i="7"/>
  <c r="B20" i="7" s="1"/>
  <c r="B9" i="7"/>
  <c r="B7" i="6" s="1"/>
  <c r="B8" i="7"/>
  <c r="D42" i="7"/>
  <c r="D43" i="7" s="1"/>
  <c r="D44" i="7" s="1"/>
  <c r="C53" i="3"/>
  <c r="E42" i="7"/>
  <c r="E43" i="7" s="1"/>
  <c r="E44" i="7" s="1"/>
  <c r="D11" i="7"/>
  <c r="D20" i="7" s="1"/>
  <c r="H40" i="4"/>
  <c r="D4" i="6"/>
  <c r="D6" i="6" s="1"/>
  <c r="D9" i="6" s="1"/>
  <c r="F36" i="7"/>
  <c r="F39" i="7" s="1"/>
  <c r="I40" i="4"/>
  <c r="C8" i="7"/>
  <c r="C10" i="7" s="1"/>
  <c r="C11" i="7"/>
  <c r="C20" i="7" s="1"/>
  <c r="C21" i="7"/>
  <c r="D21" i="7"/>
  <c r="D6" i="4"/>
  <c r="C6" i="4"/>
  <c r="B3" i="9" l="1"/>
  <c r="H12" i="8" s="1"/>
  <c r="H5" i="10"/>
  <c r="C44" i="7"/>
  <c r="B10" i="7"/>
  <c r="B8" i="6" s="1"/>
  <c r="B10" i="6" s="1"/>
  <c r="B17" i="8"/>
  <c r="B21" i="8" s="1"/>
  <c r="H38" i="4"/>
  <c r="C3" i="11" s="1"/>
  <c r="C8" i="6"/>
  <c r="C10" i="6" s="1"/>
  <c r="C12" i="7"/>
  <c r="F42" i="7"/>
  <c r="F43" i="7" s="1"/>
  <c r="F44" i="7" s="1"/>
  <c r="F21" i="7"/>
  <c r="F11" i="7"/>
  <c r="F20" i="7" s="1"/>
  <c r="F8" i="7"/>
  <c r="F10" i="7" s="1"/>
  <c r="F4" i="6"/>
  <c r="F6" i="6" s="1"/>
  <c r="F9" i="6" s="1"/>
  <c r="D10" i="6"/>
  <c r="E12" i="7"/>
  <c r="E8" i="6"/>
  <c r="E10" i="6" s="1"/>
  <c r="D12" i="7"/>
  <c r="B18" i="8" l="1"/>
  <c r="D30" i="8"/>
  <c r="F30" i="8"/>
  <c r="E30" i="8"/>
  <c r="B30" i="8"/>
  <c r="C30" i="8"/>
  <c r="B12" i="7"/>
  <c r="B13" i="7" s="1"/>
  <c r="B14" i="7" s="1"/>
  <c r="B19" i="7" s="1"/>
  <c r="B22" i="7" s="1"/>
  <c r="B27" i="7" s="1"/>
  <c r="E13" i="7"/>
  <c r="E14" i="7" s="1"/>
  <c r="E19" i="7" s="1"/>
  <c r="E22" i="7" s="1"/>
  <c r="E27" i="7" s="1"/>
  <c r="D13" i="7"/>
  <c r="D14" i="7" s="1"/>
  <c r="D19" i="7" s="1"/>
  <c r="D22" i="7" s="1"/>
  <c r="D27" i="7" s="1"/>
  <c r="C13" i="7"/>
  <c r="C14" i="7" s="1"/>
  <c r="C19" i="7" s="1"/>
  <c r="C22" i="7" s="1"/>
  <c r="C27" i="7" s="1"/>
  <c r="C17" i="8"/>
  <c r="I38" i="4"/>
  <c r="C4" i="11" s="1"/>
  <c r="H6" i="7"/>
  <c r="H9" i="7" s="1"/>
  <c r="F12" i="7"/>
  <c r="F8" i="6"/>
  <c r="F10" i="6" s="1"/>
  <c r="B25" i="8"/>
  <c r="B19" i="8"/>
  <c r="B26" i="8"/>
  <c r="B27" i="8" s="1"/>
  <c r="G21" i="7"/>
  <c r="G11" i="7"/>
  <c r="G20" i="7" s="1"/>
  <c r="G7" i="6"/>
  <c r="G7" i="7"/>
  <c r="G5" i="6" s="1"/>
  <c r="G37" i="7"/>
  <c r="G24" i="7"/>
  <c r="G4" i="6"/>
  <c r="B20" i="8" l="1"/>
  <c r="B22" i="8" s="1"/>
  <c r="G6" i="6"/>
  <c r="G9" i="6" s="1"/>
  <c r="D17" i="8"/>
  <c r="I6" i="7"/>
  <c r="J38" i="4"/>
  <c r="C5" i="11" s="1"/>
  <c r="C25" i="8"/>
  <c r="C21" i="8"/>
  <c r="C19" i="8"/>
  <c r="C26" i="8"/>
  <c r="C27" i="8" s="1"/>
  <c r="C18" i="8"/>
  <c r="G8" i="7"/>
  <c r="G10" i="7" s="1"/>
  <c r="D2" i="11" s="1"/>
  <c r="F13" i="7"/>
  <c r="F14" i="7" s="1"/>
  <c r="F19" i="7" s="1"/>
  <c r="F22" i="7" s="1"/>
  <c r="F27" i="7" s="1"/>
  <c r="G25" i="7"/>
  <c r="G38" i="7"/>
  <c r="H21" i="7"/>
  <c r="H11" i="7"/>
  <c r="H20" i="7" s="1"/>
  <c r="H7" i="6"/>
  <c r="H7" i="7"/>
  <c r="H5" i="6" s="1"/>
  <c r="H4" i="6"/>
  <c r="H37" i="7"/>
  <c r="H24" i="7"/>
  <c r="H25" i="7" s="1"/>
  <c r="B23" i="8" l="1"/>
  <c r="B24" i="8" s="1"/>
  <c r="H6" i="6"/>
  <c r="H9" i="6" s="1"/>
  <c r="H8" i="7"/>
  <c r="H10" i="7" s="1"/>
  <c r="D3" i="11" s="1"/>
  <c r="I9" i="7"/>
  <c r="I7" i="6" s="1"/>
  <c r="C20" i="8"/>
  <c r="C22" i="8" s="1"/>
  <c r="C23" i="8" s="1"/>
  <c r="C24" i="8" s="1"/>
  <c r="C28" i="8" s="1"/>
  <c r="E3" i="11" s="1"/>
  <c r="G12" i="7"/>
  <c r="G8" i="6"/>
  <c r="G10" i="6" s="1"/>
  <c r="J6" i="7"/>
  <c r="J9" i="7" s="1"/>
  <c r="K38" i="4"/>
  <c r="C6" i="11" s="1"/>
  <c r="E17" i="8"/>
  <c r="I21" i="7"/>
  <c r="I11" i="7"/>
  <c r="I20" i="7" s="1"/>
  <c r="I7" i="7"/>
  <c r="I5" i="6" s="1"/>
  <c r="I4" i="6"/>
  <c r="I37" i="7"/>
  <c r="I24" i="7"/>
  <c r="I25" i="7" s="1"/>
  <c r="H38" i="7"/>
  <c r="D25" i="8"/>
  <c r="D21" i="8"/>
  <c r="D19" i="8"/>
  <c r="D26" i="8"/>
  <c r="D27" i="8" s="1"/>
  <c r="D18" i="8"/>
  <c r="B28" i="8" l="1"/>
  <c r="I6" i="6"/>
  <c r="I9" i="6" s="1"/>
  <c r="C31" i="8"/>
  <c r="H32" i="7"/>
  <c r="I8" i="7"/>
  <c r="D20" i="8"/>
  <c r="D22" i="8" s="1"/>
  <c r="D23" i="8" s="1"/>
  <c r="D24" i="8" s="1"/>
  <c r="D28" i="8" s="1"/>
  <c r="E4" i="11" s="1"/>
  <c r="E26" i="8"/>
  <c r="E27" i="8" s="1"/>
  <c r="E18" i="8"/>
  <c r="E25" i="8"/>
  <c r="E21" i="8"/>
  <c r="E19" i="8"/>
  <c r="F17" i="8"/>
  <c r="K6" i="7"/>
  <c r="K9" i="7" s="1"/>
  <c r="H12" i="7"/>
  <c r="H8" i="6"/>
  <c r="H10" i="6" s="1"/>
  <c r="I38" i="7"/>
  <c r="J21" i="7"/>
  <c r="J11" i="7"/>
  <c r="J20" i="7" s="1"/>
  <c r="J7" i="7"/>
  <c r="J5" i="6" s="1"/>
  <c r="J4" i="6"/>
  <c r="J37" i="7"/>
  <c r="J24" i="7"/>
  <c r="J25" i="7" s="1"/>
  <c r="G13" i="7"/>
  <c r="G14" i="7" s="1"/>
  <c r="G19" i="7" s="1"/>
  <c r="G22" i="7" s="1"/>
  <c r="G27" i="7" s="1"/>
  <c r="G30" i="7" s="1"/>
  <c r="G32" i="7" l="1"/>
  <c r="B31" i="8"/>
  <c r="E2" i="11"/>
  <c r="E20" i="8"/>
  <c r="E22" i="8" s="1"/>
  <c r="E23" i="8" s="1"/>
  <c r="E24" i="8" s="1"/>
  <c r="E28" i="8" s="1"/>
  <c r="E5" i="11" s="1"/>
  <c r="D31" i="8"/>
  <c r="I32" i="7"/>
  <c r="J6" i="6"/>
  <c r="J9" i="6" s="1"/>
  <c r="H29" i="7"/>
  <c r="G36" i="7"/>
  <c r="G39" i="7" s="1"/>
  <c r="F26" i="8"/>
  <c r="F27" i="8" s="1"/>
  <c r="F18" i="8"/>
  <c r="F25" i="8"/>
  <c r="F21" i="8"/>
  <c r="F19" i="8"/>
  <c r="K4" i="6"/>
  <c r="K37" i="7"/>
  <c r="K24" i="7"/>
  <c r="K25" i="7" s="1"/>
  <c r="K21" i="7"/>
  <c r="K11" i="7"/>
  <c r="K20" i="7" s="1"/>
  <c r="K7" i="7"/>
  <c r="K5" i="6" s="1"/>
  <c r="J7" i="6"/>
  <c r="J38" i="7"/>
  <c r="I10" i="7"/>
  <c r="J8" i="7"/>
  <c r="H13" i="7"/>
  <c r="H14" i="7" s="1"/>
  <c r="H19" i="7" s="1"/>
  <c r="H22" i="7" s="1"/>
  <c r="H27" i="7" s="1"/>
  <c r="K38" i="7" l="1"/>
  <c r="I8" i="6"/>
  <c r="I10" i="6" s="1"/>
  <c r="D4" i="11"/>
  <c r="K6" i="6"/>
  <c r="K9" i="6" s="1"/>
  <c r="B14" i="6" s="1"/>
  <c r="E31" i="8"/>
  <c r="J32" i="7"/>
  <c r="F20" i="8"/>
  <c r="F22" i="8" s="1"/>
  <c r="F23" i="8" s="1"/>
  <c r="F24" i="8" s="1"/>
  <c r="F28" i="8" s="1"/>
  <c r="K8" i="7"/>
  <c r="K7" i="6"/>
  <c r="B15" i="6" s="1"/>
  <c r="J10" i="7"/>
  <c r="D5" i="11" s="1"/>
  <c r="G42" i="7"/>
  <c r="G43" i="7" s="1"/>
  <c r="G44" i="7" s="1"/>
  <c r="I12" i="7"/>
  <c r="H30" i="7"/>
  <c r="K32" i="7" l="1"/>
  <c r="E6" i="11"/>
  <c r="B33" i="8"/>
  <c r="B34" i="8" s="1"/>
  <c r="F31" i="8"/>
  <c r="I29" i="7"/>
  <c r="H36" i="7"/>
  <c r="H39" i="7" s="1"/>
  <c r="I13" i="7"/>
  <c r="I14" i="7" s="1"/>
  <c r="I19" i="7" s="1"/>
  <c r="I22" i="7" s="1"/>
  <c r="I27" i="7" s="1"/>
  <c r="J12" i="7"/>
  <c r="J8" i="6"/>
  <c r="J10" i="6" s="1"/>
  <c r="K10" i="7"/>
  <c r="D6" i="11" s="1"/>
  <c r="B36" i="8" l="1"/>
  <c r="I30" i="7"/>
  <c r="H42" i="7"/>
  <c r="H43" i="7" s="1"/>
  <c r="H44" i="7" s="1"/>
  <c r="K8" i="6"/>
  <c r="K10" i="6" s="1"/>
  <c r="H8" i="10" s="1"/>
  <c r="K12" i="7"/>
  <c r="J13" i="7"/>
  <c r="J14" i="7" s="1"/>
  <c r="J19" i="7" s="1"/>
  <c r="J22" i="7" s="1"/>
  <c r="J27" i="7" s="1"/>
  <c r="F2" i="11" l="1"/>
  <c r="F3" i="11"/>
  <c r="F6" i="11"/>
  <c r="F4" i="11"/>
  <c r="F5" i="11"/>
  <c r="B4" i="10"/>
  <c r="B16" i="6"/>
  <c r="K13" i="7"/>
  <c r="K14" i="7" s="1"/>
  <c r="K19" i="7" s="1"/>
  <c r="K22" i="7" s="1"/>
  <c r="K27" i="7" s="1"/>
  <c r="A18" i="9"/>
  <c r="A6" i="9"/>
  <c r="B43" i="8"/>
  <c r="B5" i="10" s="1"/>
  <c r="J29" i="7"/>
  <c r="J30" i="7" s="1"/>
  <c r="I36" i="7"/>
  <c r="I39" i="7" s="1"/>
  <c r="K29" i="7" l="1"/>
  <c r="K30" i="7" s="1"/>
  <c r="K36" i="7" s="1"/>
  <c r="K39" i="7" s="1"/>
  <c r="J36" i="7"/>
  <c r="J39" i="7" s="1"/>
  <c r="I42" i="7"/>
  <c r="I43" i="7" s="1"/>
  <c r="I44" i="7" s="1"/>
  <c r="J42" i="7" l="1"/>
  <c r="J43" i="7" s="1"/>
  <c r="J44" i="7" s="1"/>
  <c r="K42" i="7"/>
  <c r="K43" i="7" s="1"/>
  <c r="K44" i="7" s="1"/>
</calcChain>
</file>

<file path=xl/sharedStrings.xml><?xml version="1.0" encoding="utf-8"?>
<sst xmlns="http://schemas.openxmlformats.org/spreadsheetml/2006/main" count="303" uniqueCount="197">
  <si>
    <t>Assumptions</t>
  </si>
  <si>
    <t>Assumption</t>
  </si>
  <si>
    <t>Input</t>
  </si>
  <si>
    <t>Notes</t>
  </si>
  <si>
    <t>Revenue Assumptions</t>
  </si>
  <si>
    <t>Scenario</t>
  </si>
  <si>
    <t>Base</t>
  </si>
  <si>
    <t>Normalized growth assumption</t>
  </si>
  <si>
    <t>Bull Case Growth Rate</t>
  </si>
  <si>
    <t>Bear Case Growth Rate</t>
  </si>
  <si>
    <t>Membership Growth Rate</t>
  </si>
  <si>
    <t>Membership base expansion</t>
  </si>
  <si>
    <t>Avg Ticket Growth Rate</t>
  </si>
  <si>
    <t>Pricing + mix</t>
  </si>
  <si>
    <t>Selected Growth Rate</t>
  </si>
  <si>
    <t>Cost Assumptions</t>
  </si>
  <si>
    <t>COGS % of Revenue</t>
  </si>
  <si>
    <t>Operating Expenses % of Revenue</t>
  </si>
  <si>
    <t>EBITDA Margin</t>
  </si>
  <si>
    <t>Cash Flow Assumptions</t>
  </si>
  <si>
    <t>Effective Tax Rate</t>
  </si>
  <si>
    <t>Depreciation % of Revenue</t>
  </si>
  <si>
    <t>CapEx % of Revenue</t>
  </si>
  <si>
    <t>Working Capital % of Revenue</t>
  </si>
  <si>
    <t>Valuation Inputs (DCF)</t>
  </si>
  <si>
    <t>Risk-Free Rate</t>
  </si>
  <si>
    <t>Market Risk Premium</t>
  </si>
  <si>
    <t>Beta</t>
  </si>
  <si>
    <t>Cost of Debt</t>
  </si>
  <si>
    <t>Terminal Growth Rate</t>
  </si>
  <si>
    <t>Line Item</t>
  </si>
  <si>
    <t>Income Statement ($ in millions)</t>
  </si>
  <si>
    <t>Revenue</t>
  </si>
  <si>
    <t>Cost of Goods Sold (COGS)</t>
  </si>
  <si>
    <t>Gross Profit</t>
  </si>
  <si>
    <t>Operating Expenses</t>
  </si>
  <si>
    <t>EBITDA</t>
  </si>
  <si>
    <t>Depreciation &amp; Amortization</t>
  </si>
  <si>
    <t>EBIT (Operating Income)</t>
  </si>
  <si>
    <t>Interest Expense</t>
  </si>
  <si>
    <t>Pre-Tax Income</t>
  </si>
  <si>
    <t>Income Tax</t>
  </si>
  <si>
    <t>Net Income</t>
  </si>
  <si>
    <t>Balance Sheet ($ in millions)</t>
  </si>
  <si>
    <t>Assets</t>
  </si>
  <si>
    <t>Cash &amp; Cash Equivalents</t>
  </si>
  <si>
    <t>Short-Term Investments</t>
  </si>
  <si>
    <t>Accounts Recievable</t>
  </si>
  <si>
    <t>Inventory</t>
  </si>
  <si>
    <t>Other Current Assets</t>
  </si>
  <si>
    <t>Total Current Assets</t>
  </si>
  <si>
    <t>Property, Plant &amp; Equipment (PP&amp;E)</t>
  </si>
  <si>
    <t>Operating Lease Right of Use Assets</t>
  </si>
  <si>
    <t>Other Long-Term Assets</t>
  </si>
  <si>
    <t>Total Assets</t>
  </si>
  <si>
    <t>Liabilities</t>
  </si>
  <si>
    <t>Accounts Payable</t>
  </si>
  <si>
    <t>Accrued Salaries &amp; Benefits</t>
  </si>
  <si>
    <t>Accrued Member Rewards</t>
  </si>
  <si>
    <t xml:space="preserve">Deferred Membership Fees </t>
  </si>
  <si>
    <t>Current Portion of Long Term Debt</t>
  </si>
  <si>
    <t>Other Current Liabilities</t>
  </si>
  <si>
    <t>Long-Term Debt</t>
  </si>
  <si>
    <t xml:space="preserve">Operating Lease Liabilities </t>
  </si>
  <si>
    <t>Other Liabilities</t>
  </si>
  <si>
    <t>Total Liabilities</t>
  </si>
  <si>
    <t>Equity</t>
  </si>
  <si>
    <t>Share Capital</t>
  </si>
  <si>
    <t>Additional Paid-In Capital</t>
  </si>
  <si>
    <t>Retained Earnings</t>
  </si>
  <si>
    <t>Noncontrolling Interests</t>
  </si>
  <si>
    <t>Accumulated Other Comprehensive Income (Loss)</t>
  </si>
  <si>
    <t>Total Equity</t>
  </si>
  <si>
    <t>Total Liabilities &amp; Equity</t>
  </si>
  <si>
    <t>Cash Flow Statement ($ in millions)</t>
  </si>
  <si>
    <t>Operating Cash Flow</t>
  </si>
  <si>
    <t>Non-cash Lease Expense</t>
  </si>
  <si>
    <t>Stock-based Compensation</t>
  </si>
  <si>
    <t>Impairment &amp; other non-cash</t>
  </si>
  <si>
    <t>Changes in Inventory</t>
  </si>
  <si>
    <t>Changes in Accounts Payable</t>
  </si>
  <si>
    <t>Other operating assets &amp; liabilites</t>
  </si>
  <si>
    <t>Cash Flow from Operations</t>
  </si>
  <si>
    <t>Investing Cash Flow</t>
  </si>
  <si>
    <t>Purchases of short-term investments</t>
  </si>
  <si>
    <t>Maturities of short-term investments</t>
  </si>
  <si>
    <t>Capital Expenditures</t>
  </si>
  <si>
    <t>Other investing activites</t>
  </si>
  <si>
    <t>Net Cash Flow from Investing Activites</t>
  </si>
  <si>
    <t>Financing Cash Flow</t>
  </si>
  <si>
    <t>Repayment of short-term borrowings</t>
  </si>
  <si>
    <t>Proceeds from short-term debt</t>
  </si>
  <si>
    <t>Repayment of long-term debt</t>
  </si>
  <si>
    <t>Proceeds from long-term debt</t>
  </si>
  <si>
    <t>Tax withholdings on stock comp</t>
  </si>
  <si>
    <t>Repurchases of common stock</t>
  </si>
  <si>
    <t>Dividend to noncontrolling interest</t>
  </si>
  <si>
    <t>Cash Dividends Paid</t>
  </si>
  <si>
    <t>Financing lease payments</t>
  </si>
  <si>
    <t>Other financing activities</t>
  </si>
  <si>
    <t>Cash Flow from Financing</t>
  </si>
  <si>
    <t>Net Change in Cash</t>
  </si>
  <si>
    <t>Beginning Cash Balance</t>
  </si>
  <si>
    <t>Ending Cash Balance</t>
  </si>
  <si>
    <t>Year</t>
  </si>
  <si>
    <t>$ Change</t>
  </si>
  <si>
    <t>% Growth</t>
  </si>
  <si>
    <t>Growth Index (base=100)</t>
  </si>
  <si>
    <t>CAGR (overall growth per year)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</si>
  <si>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</si>
  <si>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</si>
  <si>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</si>
  <si>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</si>
  <si>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</si>
  <si>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</si>
  <si>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</si>
  <si>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</si>
  <si>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</si>
  <si>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</si>
  <si>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Forecast Revenue Growth %</t>
  </si>
  <si>
    <t>Revenue CAGR (2025A-2030E)</t>
  </si>
  <si>
    <t>Bull</t>
  </si>
  <si>
    <t>Bear</t>
  </si>
  <si>
    <t>Selected</t>
  </si>
  <si>
    <t>Store Growth %</t>
  </si>
  <si>
    <t>Comp Sales Growth %</t>
  </si>
  <si>
    <t xml:space="preserve">Cost Assumptions </t>
  </si>
  <si>
    <t>COGS</t>
  </si>
  <si>
    <t>Gross Margin %</t>
  </si>
  <si>
    <t>EBITDA %</t>
  </si>
  <si>
    <t>Margin Bridge (2025A-2030E)</t>
  </si>
  <si>
    <t>Gross Margin % change</t>
  </si>
  <si>
    <t>OpEx % change</t>
  </si>
  <si>
    <t>EBITDA Margin % change</t>
  </si>
  <si>
    <t>Income Statement</t>
  </si>
  <si>
    <t>EBIT</t>
  </si>
  <si>
    <t>Taxes</t>
  </si>
  <si>
    <t>Cash Flow Statement</t>
  </si>
  <si>
    <t>Change in Working Capital</t>
  </si>
  <si>
    <t>Cash Flow from Operations (CFO)</t>
  </si>
  <si>
    <t>CapEx</t>
  </si>
  <si>
    <t>Cash Flow from Investing (CFI)</t>
  </si>
  <si>
    <t>Net Change in cash</t>
  </si>
  <si>
    <t>Beginning Cash</t>
  </si>
  <si>
    <t>Ending Cash</t>
  </si>
  <si>
    <t>Balance Sheet</t>
  </si>
  <si>
    <t>Cash</t>
  </si>
  <si>
    <t>Net Working Capital</t>
  </si>
  <si>
    <t>PP&amp;E (Net)</t>
  </si>
  <si>
    <t>Total Debt</t>
  </si>
  <si>
    <t>Equity (Plug)</t>
  </si>
  <si>
    <t>Balance Check (Assets - L&amp;E)</t>
  </si>
  <si>
    <t>DCF Valuation (FCFF)</t>
  </si>
  <si>
    <t>Cost of Equity</t>
  </si>
  <si>
    <t>Tax Rate</t>
  </si>
  <si>
    <t>After-Tax Cost of Debt</t>
  </si>
  <si>
    <t>Debt Weight</t>
  </si>
  <si>
    <t>Equity Weight</t>
  </si>
  <si>
    <t>WACC</t>
  </si>
  <si>
    <t>WACC Input (for sensitivity)</t>
  </si>
  <si>
    <t>Terminal Growth (g)</t>
  </si>
  <si>
    <t>Terminal Growth (for sensitivity)</t>
  </si>
  <si>
    <t>($ in millions)</t>
  </si>
  <si>
    <t>Operating Expense</t>
  </si>
  <si>
    <t>D&amp;A</t>
  </si>
  <si>
    <t>NOPAT</t>
  </si>
  <si>
    <t>NWC</t>
  </si>
  <si>
    <t>2025 NWC</t>
  </si>
  <si>
    <t>Change in NWC</t>
  </si>
  <si>
    <t>FCFF</t>
  </si>
  <si>
    <t>Discount Factor</t>
  </si>
  <si>
    <t>PV of FCFF</t>
  </si>
  <si>
    <t>Terminal Value (at 2030)</t>
  </si>
  <si>
    <t>PV of Terminal Value</t>
  </si>
  <si>
    <t>Enterprise Value</t>
  </si>
  <si>
    <t>Total Debt (2025)</t>
  </si>
  <si>
    <t>Cash (2025)</t>
  </si>
  <si>
    <t>Short-Term Investments (2025)</t>
  </si>
  <si>
    <t>Net Debt (Debt-Cash-STI)</t>
  </si>
  <si>
    <t>Equity Value</t>
  </si>
  <si>
    <t>Sensitivity Analysis</t>
  </si>
  <si>
    <t>Base Case Valuation</t>
  </si>
  <si>
    <t>WACC (Sensitivity)</t>
  </si>
  <si>
    <t>Terminal Growth (Sensitivity)</t>
  </si>
  <si>
    <t>EBITDA Margin (Sensitivity)</t>
  </si>
  <si>
    <t>Valuation Summary</t>
  </si>
  <si>
    <t>Implied Upside/(Downside)</t>
  </si>
  <si>
    <t>Free Cash Flow (FCFF)</t>
  </si>
  <si>
    <t>Reference Revenue Growth (Not Scenario-Driven)</t>
  </si>
  <si>
    <t>Key Assumptions</t>
  </si>
  <si>
    <t>Terminal Growth</t>
  </si>
  <si>
    <t>Revenue CAGR (2025-2030)</t>
  </si>
  <si>
    <t>EBITDA Margin (Steady-State)</t>
  </si>
  <si>
    <t>Base (Frozen)</t>
  </si>
  <si>
    <t>Bull (Frozen)</t>
  </si>
  <si>
    <t>Bear (Frozen)</t>
  </si>
  <si>
    <t>Enterprise Value (Scenario-Level)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</si>
</sst>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sz val="12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wrapText="1"/>
    </xf>
    <xf numFmtId="0" fontId="4" fillId="0" borderId="7" xfId="0" applyFont="1" applyBorder="1"/>
    <xf numFmtId="0" fontId="2" fillId="0" borderId="7" xfId="0" applyFont="1" applyBorder="1"/>
    <xf numFmtId="0" fontId="5" fillId="0" borderId="0" xfId="0" applyFont="1"/>
    <xf numFmtId="0" fontId="5" fillId="0" borderId="7" xfId="0" applyFont="1" applyBorder="1"/>
    <xf numFmtId="0" fontId="5" fillId="0" borderId="0" xfId="0" applyFont="1" applyAlignment="1">
      <alignment wrapText="1"/>
    </xf>
    <xf numFmtId="0" fontId="4" fillId="0" borderId="9" xfId="0" applyFont="1" applyBorder="1"/>
    <xf numFmtId="0" fontId="5" fillId="0" borderId="9" xfId="0" applyFont="1" applyBorder="1"/>
    <xf numFmtId="3" fontId="5" fillId="0" borderId="0" xfId="0" applyNumberFormat="1" applyFont="1"/>
    <xf numFmtId="37" fontId="5" fillId="0" borderId="0" xfId="0" applyNumberFormat="1" applyFont="1"/>
    <xf numFmtId="0" fontId="1" fillId="0" borderId="0" xfId="0" applyFont="1" applyAlignment="1">
      <alignment wrapText="1"/>
    </xf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5" fillId="0" borderId="4" xfId="0" applyFont="1" applyBorder="1"/>
    <xf numFmtId="0" fontId="5" fillId="0" borderId="5" xfId="0" applyFont="1" applyBorder="1"/>
    <xf numFmtId="0" fontId="1" fillId="0" borderId="4" xfId="0" applyFont="1" applyBorder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5" fillId="0" borderId="6" xfId="0" applyFont="1" applyBorder="1"/>
    <xf numFmtId="164" fontId="6" fillId="0" borderId="7" xfId="0" applyNumberFormat="1" applyFont="1" applyBorder="1"/>
    <xf numFmtId="0" fontId="5" fillId="0" borderId="8" xfId="0" applyFont="1" applyBorder="1"/>
    <xf numFmtId="10" fontId="5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0" fontId="5" fillId="0" borderId="4" xfId="0" applyFont="1" applyBorder="1" applyAlignment="1">
      <alignment wrapText="1"/>
    </xf>
    <xf numFmtId="164" fontId="5" fillId="0" borderId="0" xfId="0" applyNumberFormat="1" applyFont="1"/>
    <xf numFmtId="3" fontId="5" fillId="0" borderId="0" xfId="0" applyNumberFormat="1" applyFont="1" applyAlignment="1">
      <alignment wrapText="1"/>
    </xf>
    <xf numFmtId="37" fontId="5" fillId="0" borderId="0" xfId="0" quotePrefix="1" applyNumberFormat="1" applyFont="1"/>
    <xf numFmtId="166" fontId="5" fillId="0" borderId="0" xfId="0" applyNumberFormat="1" applyFont="1"/>
    <xf numFmtId="39" fontId="5" fillId="0" borderId="0" xfId="0" applyNumberFormat="1" applyFont="1"/>
    <xf numFmtId="0" fontId="5" fillId="4" borderId="1" xfId="0" applyFont="1" applyFill="1" applyBorder="1"/>
    <xf numFmtId="10" fontId="5" fillId="4" borderId="3" xfId="0" applyNumberFormat="1" applyFont="1" applyFill="1" applyBorder="1"/>
    <xf numFmtId="0" fontId="5" fillId="4" borderId="6" xfId="0" applyFont="1" applyFill="1" applyBorder="1" applyAlignment="1">
      <alignment wrapText="1"/>
    </xf>
    <xf numFmtId="10" fontId="5" fillId="4" borderId="8" xfId="0" applyNumberFormat="1" applyFont="1" applyFill="1" applyBorder="1"/>
    <xf numFmtId="164" fontId="5" fillId="0" borderId="0" xfId="1" applyNumberFormat="1" applyFont="1"/>
    <xf numFmtId="164" fontId="1" fillId="0" borderId="0" xfId="1" applyNumberFormat="1" applyFont="1"/>
    <xf numFmtId="2" fontId="5" fillId="0" borderId="0" xfId="0" applyNumberFormat="1" applyFont="1"/>
    <xf numFmtId="10" fontId="1" fillId="0" borderId="0" xfId="0" applyNumberFormat="1" applyFont="1"/>
    <xf numFmtId="2" fontId="5" fillId="2" borderId="10" xfId="0" applyNumberFormat="1" applyFont="1" applyFill="1" applyBorder="1"/>
    <xf numFmtId="0" fontId="5" fillId="4" borderId="11" xfId="0" applyFont="1" applyFill="1" applyBorder="1" applyAlignment="1">
      <alignment wrapText="1"/>
    </xf>
    <xf numFmtId="9" fontId="5" fillId="4" borderId="12" xfId="1" applyFont="1" applyFill="1" applyBorder="1"/>
    <xf numFmtId="39" fontId="1" fillId="0" borderId="0" xfId="1" applyNumberFormat="1" applyFont="1"/>
    <xf numFmtId="39" fontId="5" fillId="0" borderId="10" xfId="0" applyNumberFormat="1" applyFont="1" applyBorder="1"/>
    <xf numFmtId="39" fontId="5" fillId="0" borderId="0" xfId="1" applyNumberFormat="1" applyFont="1"/>
    <xf numFmtId="39" fontId="5" fillId="0" borderId="0" xfId="0" applyNumberFormat="1" applyFont="1" applyAlignment="1">
      <alignment wrapText="1"/>
    </xf>
    <xf numFmtId="10" fontId="5" fillId="0" borderId="0" xfId="0" applyNumberFormat="1" applyFont="1" applyAlignment="1">
      <alignment wrapText="1"/>
    </xf>
    <xf numFmtId="9" fontId="5" fillId="0" borderId="0" xfId="1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E7F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Growth Trend (2021-2025, $ in millions)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Model'!$A$1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A-1C42-A0A9-2DF78AD8F606}"/>
            </c:ext>
          </c:extLst>
        </c:ser>
        <c:ser>
          <c:idx val="1"/>
          <c:order val="1"/>
          <c:tx>
            <c:strRef>
              <c:f>'Revenue Model'!$B$1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2"/>
              </a:solidFill>
              <a:ln w="31750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Model'!$B$2:$B$6</c:f>
              <c:numCache>
                <c:formatCode>#,##0</c:formatCode>
                <c:ptCount val="5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A-1C42-A0A9-2DF78AD8F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24591"/>
        <c:axId val="717507536"/>
      </c:lineChart>
      <c:catAx>
        <c:axId val="18242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7536"/>
        <c:crosses val="autoZero"/>
        <c:auto val="1"/>
        <c:lblAlgn val="ctr"/>
        <c:lblOffset val="100"/>
        <c:noMultiLvlLbl val="0"/>
      </c:catAx>
      <c:valAx>
        <c:axId val="717507536"/>
        <c:scaling>
          <c:orientation val="minMax"/>
          <c:max val="290000"/>
          <c:min val="180000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Growth ($ in million)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459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Year-over-Year Revenue Growth (2022-2025)</a:t>
            </a:r>
            <a:endParaRPr lang="en-US"/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Revenue Growth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D2-FC40-9362-9D7096C75E1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D2-FC40-9362-9D7096C75E1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D2-FC40-9362-9D7096C75E1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0D2-FC40-9362-9D7096C75E17}"/>
              </c:ext>
            </c:extLst>
          </c:dPt>
          <c:cat>
            <c:numRef>
              <c:f>'Revenue Model'!$A$3:$A$6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'Revenue Model'!$D$3:$D$6</c:f>
              <c:numCache>
                <c:formatCode>0.00%</c:formatCode>
                <c:ptCount val="4"/>
                <c:pt idx="0">
                  <c:v>0.15834817714580285</c:v>
                </c:pt>
                <c:pt idx="1">
                  <c:v>6.7573164606043568E-2</c:v>
                </c:pt>
                <c:pt idx="2">
                  <c:v>5.0200173345990251E-2</c:v>
                </c:pt>
                <c:pt idx="3">
                  <c:v>8.1673236314761422E-2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D2-FC40-9362-9D7096C75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87706383"/>
        <c:axId val="1887708095"/>
      </c:barChart>
      <c:catAx>
        <c:axId val="18877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90000"/>
                <a:lumOff val="1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8095"/>
        <c:crosses val="autoZero"/>
        <c:auto val="1"/>
        <c:lblAlgn val="ctr"/>
        <c:lblOffset val="100"/>
        <c:noMultiLvlLbl val="0"/>
      </c:catAx>
      <c:valAx>
        <c:axId val="18877080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> Revenue % Growth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638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Costco Revenue Forecast (2021A–2030E)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Forecast Revenue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'Revenue Model'!$B$36:$K$36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'Revenue Model'!$B$38:$K$38</c:f>
              <c:numCache>
                <c:formatCode>#,##0</c:formatCode>
                <c:ptCount val="10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  <c:pt idx="5">
                  <c:v>279363.52499999997</c:v>
                </c:pt>
                <c:pt idx="6">
                  <c:v>283553.97787499992</c:v>
                </c:pt>
                <c:pt idx="7">
                  <c:v>287807.28754312487</c:v>
                </c:pt>
                <c:pt idx="8">
                  <c:v>292124.39685627172</c:v>
                </c:pt>
                <c:pt idx="9">
                  <c:v>296506.26280911575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8-FA47-9D8C-FF337C3FE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66928"/>
        <c:axId val="88973696"/>
      </c:lineChart>
      <c:catAx>
        <c:axId val="889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3696"/>
        <c:crosses val="autoZero"/>
        <c:auto val="1"/>
        <c:lblAlgn val="ctr"/>
        <c:lblOffset val="100"/>
        <c:noMultiLvlLbl val="0"/>
      </c:catAx>
      <c:valAx>
        <c:axId val="889736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69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Model'!$A$6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Model'!$B$2:$K$2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'3-Statement Model'!$B$6:$K$6</c:f>
              <c:numCache>
                <c:formatCode>#,##0</c:formatCode>
                <c:ptCount val="10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  <c:pt idx="5">
                  <c:v>279363.52499999997</c:v>
                </c:pt>
                <c:pt idx="6">
                  <c:v>283553.97787499992</c:v>
                </c:pt>
                <c:pt idx="7">
                  <c:v>287807.28754312487</c:v>
                </c:pt>
                <c:pt idx="8">
                  <c:v>292124.39685627172</c:v>
                </c:pt>
                <c:pt idx="9">
                  <c:v>296506.26280911575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6-6041-A485-8C074019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677984"/>
        <c:axId val="333621232"/>
      </c:lineChart>
      <c:catAx>
        <c:axId val="33367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1232"/>
        <c:crosses val="autoZero"/>
        <c:auto val="1"/>
        <c:lblAlgn val="ctr"/>
        <c:lblOffset val="100"/>
        <c:noMultiLvlLbl val="0"/>
      </c:catAx>
      <c:valAx>
        <c:axId val="3336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7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Model'!$A$10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Model'!$B$2:$K$2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'3-Statement Model'!$B$10:$K$10</c:f>
              <c:numCache>
                <c:formatCode>#,##0</c:formatCode>
                <c:ptCount val="10"/>
                <c:pt idx="0">
                  <c:v>8591.0349999999999</c:v>
                </c:pt>
                <c:pt idx="1">
                  <c:v>7793</c:v>
                </c:pt>
                <c:pt idx="2">
                  <c:v>8114</c:v>
                </c:pt>
                <c:pt idx="3">
                  <c:v>9285</c:v>
                </c:pt>
                <c:pt idx="4">
                  <c:v>10383</c:v>
                </c:pt>
                <c:pt idx="5">
                  <c:v>6984.088125000002</c:v>
                </c:pt>
                <c:pt idx="6">
                  <c:v>7088.849446874985</c:v>
                </c:pt>
                <c:pt idx="7">
                  <c:v>7195.1821885781283</c:v>
                </c:pt>
                <c:pt idx="8">
                  <c:v>7303.1099214067981</c:v>
                </c:pt>
                <c:pt idx="9">
                  <c:v>7412.6565702279149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0-6041-9E92-CFB4C4851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944496"/>
        <c:axId val="1083052976"/>
      </c:lineChart>
      <c:catAx>
        <c:axId val="10829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52976"/>
        <c:crosses val="autoZero"/>
        <c:auto val="1"/>
        <c:lblAlgn val="ctr"/>
        <c:lblOffset val="100"/>
        <c:noMultiLvlLbl val="0"/>
      </c:catAx>
      <c:valAx>
        <c:axId val="1083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Free Cash Flow (FCFF)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Model'!$A$32</c:f>
              <c:strCache>
                <c:ptCount val="1"/>
                <c:pt idx="0">
                  <c:v>Free Cash Flow (FCFF)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Model'!$G$2:$K$2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'3-Statement Model'!$G$32:$K$32</c:f>
              <c:numCache>
                <c:formatCode>#,##0</c:formatCode>
                <c:ptCount val="5"/>
                <c:pt idx="0">
                  <c:v>2538.3272640000037</c:v>
                </c:pt>
                <c:pt idx="1">
                  <c:v>2576.4021729599835</c:v>
                </c:pt>
                <c:pt idx="2">
                  <c:v>2615.0482055544071</c:v>
                </c:pt>
                <c:pt idx="3">
                  <c:v>2654.2739286377218</c:v>
                </c:pt>
                <c:pt idx="4">
                  <c:v>2694.0880375673069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D-C147-B428-89649C90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097776"/>
        <c:axId val="755099488"/>
      </c:lineChart>
      <c:catAx>
        <c:axId val="7550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9488"/>
        <c:crosses val="autoZero"/>
        <c:auto val="1"/>
        <c:lblAlgn val="ctr"/>
        <c:lblOffset val="100"/>
        <c:noMultiLvlLbl val="0"/>
      </c:catAx>
      <c:valAx>
        <c:axId val="7550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12700</xdr:rowOff>
    </xdr:from>
    <xdr:to>
      <xdr:col>9</xdr:col>
      <xdr:colOff>203200</xdr:colOff>
      <xdr:row>14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AC403A-1F16-B781-161F-D3D5A240768C}"/>
            </a:ext>
          </a:extLst>
        </xdr:cNvPr>
        <xdr:cNvSpPr txBox="1"/>
      </xdr:nvSpPr>
      <xdr:spPr>
        <a:xfrm>
          <a:off x="317500" y="215900"/>
          <a:ext cx="7315200" cy="274320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latin typeface="Arial" panose="020B0604020202020204" pitchFamily="34" charset="0"/>
              <a:cs typeface="Arial" panose="020B0604020202020204" pitchFamily="34" charset="0"/>
            </a:rPr>
            <a:t>Costco Wholesale Corporation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Financial Modeling &amp; Valuation Project</a:t>
          </a:r>
        </a:p>
        <a:p>
          <a:pPr algn="ctr"/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400" b="0">
              <a:latin typeface="Arial" panose="020B0604020202020204" pitchFamily="34" charset="0"/>
              <a:cs typeface="Arial" panose="020B0604020202020204" pitchFamily="34" charset="0"/>
            </a:rPr>
            <a:t>3-Statement Financial Model | Forecasting | DCF Valuation | Executive Dashboards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Prepared by: May Zheng</a:t>
          </a:r>
          <a:br>
            <a:rPr lang="en-US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Finance Major | University of South Florida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Date: Febuary 2026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End-to-end financial modeling, forecasting, valuation, and executive </a:t>
          </a: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dashboard analytics project built using Microsoft Excel &amp; Tableau.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8</xdr:row>
      <xdr:rowOff>50800</xdr:rowOff>
    </xdr:from>
    <xdr:to>
      <xdr:col>3</xdr:col>
      <xdr:colOff>1028700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177800</xdr:colOff>
      <xdr:row>8</xdr:row>
      <xdr:rowOff>50800</xdr:rowOff>
    </xdr:from>
    <xdr:to>
      <xdr:col>9</xdr:col>
      <xdr:colOff>247650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42</xdr:row>
      <xdr:rowOff>177800</xdr:rowOff>
    </xdr:from>
    <xdr:to>
      <xdr:col>4</xdr:col>
      <xdr:colOff>63047</xdr:colOff>
      <xdr:row>56</xdr:row>
      <xdr:rowOff>200480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943429</xdr:colOff>
      <xdr:row>25</xdr:row>
      <xdr:rowOff>96157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707534-4D78-7947-AB74-EFCFB094C77D}"/>
            </a:ext>
          </a:extLst>
        </xdr:cNvPr>
        <xdr:cNvSpPr txBox="1"/>
      </xdr:nvSpPr>
      <xdr:spPr>
        <a:xfrm>
          <a:off x="0" y="4826000"/>
          <a:ext cx="45720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1. Revenue Growth Trend, 2021–2025 ($ in millions)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i="1">
              <a:latin typeface="Arial" panose="020B0604020202020204" pitchFamily="34" charset="0"/>
              <a:cs typeface="Arial" panose="020B0604020202020204" pitchFamily="34" charset="0"/>
            </a:rPr>
            <a:t>Source: Company annual reports.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3</xdr:col>
      <xdr:colOff>943429</xdr:colOff>
      <xdr:row>30</xdr:row>
      <xdr:rowOff>154214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28171A-E5D7-1841-8F32-69E019C36F29}"/>
            </a:ext>
          </a:extLst>
        </xdr:cNvPr>
        <xdr:cNvSpPr txBox="1"/>
      </xdr:nvSpPr>
      <xdr:spPr>
        <a:xfrm>
          <a:off x="0" y="5424714"/>
          <a:ext cx="457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Revenue increased steadily from 2021 to 2025, rising from $195,929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million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 to $275,235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milion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 Growth was strongest between 2021 and 2022, followed by slower but consistent increases in subsequent years. The overall CAGR of  8.87% reflects strong and sustainable top-line growth over the period.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9</xdr:col>
      <xdr:colOff>23586</xdr:colOff>
      <xdr:row>25</xdr:row>
      <xdr:rowOff>121557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77D831-0D4D-E94E-8C5F-8EED9A684339}"/>
            </a:ext>
          </a:extLst>
        </xdr:cNvPr>
        <xdr:cNvSpPr txBox="1"/>
      </xdr:nvSpPr>
      <xdr:spPr>
        <a:xfrm>
          <a:off x="4844143" y="4826000"/>
          <a:ext cx="608330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2. Year-over-Year Revenue Growth, 2022–2025 (%)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i="1">
              <a:latin typeface="Arial" panose="020B0604020202020204" pitchFamily="34" charset="0"/>
              <a:cs typeface="Arial" panose="020B0604020202020204" pitchFamily="34" charset="0"/>
            </a:rPr>
            <a:t>Source: Company annual reports.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9</xdr:col>
      <xdr:colOff>23586</xdr:colOff>
      <xdr:row>30</xdr:row>
      <xdr:rowOff>154214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4798D2-0A9A-CF4E-B9B8-4ECFB7BBEBB6}"/>
            </a:ext>
          </a:extLst>
        </xdr:cNvPr>
        <xdr:cNvSpPr txBox="1"/>
      </xdr:nvSpPr>
      <xdr:spPr>
        <a:xfrm>
          <a:off x="4844143" y="5424714"/>
          <a:ext cx="60833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Year-over-year revenue growth peaked in 2022 at 15.8%, reflecting a strong post-pandemic rebound. Growth moderated in 2023 and 2024, declining to 6.8% and 5.0%, respectively, before re-accelerating to 8.2% in 2025. This pattern suggests that while revenue growth normalized after 2022, the company maintained consistent expansion, indicating stable demand and effective revenue scaling.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7</xdr:col>
      <xdr:colOff>807357</xdr:colOff>
      <xdr:row>34</xdr:row>
      <xdr:rowOff>83457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65012B-D4F9-DC46-B74E-0EAB7B21A8D5}"/>
            </a:ext>
          </a:extLst>
        </xdr:cNvPr>
        <xdr:cNvSpPr txBox="1"/>
      </xdr:nvSpPr>
      <xdr:spPr>
        <a:xfrm>
          <a:off x="1215571" y="6622143"/>
          <a:ext cx="80645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Together, the revenue trend and year-over-year growth analysis indicate sustained top-line expansion, with post-pandemic normalization followed by renewed acceleration in 2025, supporting the company’s long-term growth outlook.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235857</xdr:colOff>
      <xdr:row>47</xdr:row>
      <xdr:rowOff>108858</xdr:rowOff>
    </xdr:from>
    <xdr:to>
      <xdr:col>9</xdr:col>
      <xdr:colOff>257175</xdr:colOff>
      <xdr:row>52</xdr:row>
      <xdr:rowOff>124732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26823B-9208-DC41-BBCB-95B54207A7C1}"/>
            </a:ext>
          </a:extLst>
        </xdr:cNvPr>
        <xdr:cNvSpPr txBox="1"/>
      </xdr:nvSpPr>
      <xdr:spPr>
        <a:xfrm>
          <a:off x="5080000" y="9960429"/>
          <a:ext cx="6081032" cy="10137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3. Costco Revenue Forecast (2021A–2030E).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Revenue is projected using a driver-based approach that combines store expansion and comparable sales growth. Forecasts reflect Base-case assumptions and compound annually from the last actual year (2025A).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9</xdr:col>
      <xdr:colOff>190500</xdr:colOff>
      <xdr:row>19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3B9AF5-3F0D-424F-AF3E-F245EFDF917C}"/>
            </a:ext>
          </a:extLst>
        </xdr:cNvPr>
        <xdr:cNvSpPr txBox="1"/>
      </xdr:nvSpPr>
      <xdr:spPr>
        <a:xfrm>
          <a:off x="0" y="3695700"/>
          <a:ext cx="82296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500" b="1">
              <a:latin typeface="Arial" panose="020B0604020202020204" pitchFamily="34" charset="0"/>
              <a:cs typeface="Arial" panose="020B0604020202020204" pitchFamily="34" charset="0"/>
            </a:rPr>
            <a:t>Key Revenue Drivers &amp; Cost Structure (2021–2025)</a:t>
          </a: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3</xdr:col>
      <xdr:colOff>571500</xdr:colOff>
      <xdr:row>33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B63EE1-8893-A142-9496-18417924924F}"/>
            </a:ext>
          </a:extLst>
        </xdr:cNvPr>
        <xdr:cNvSpPr txBox="1"/>
      </xdr:nvSpPr>
      <xdr:spPr>
        <a:xfrm>
          <a:off x="0" y="4508500"/>
          <a:ext cx="3657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Key Revenue Drivers: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Revenue grew steadily from 2021–2025, with the strongest jump in 2022 and moderate growth afterward.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Stable margins suggest growth was driven mainly by higher sales volume and expansion, not heavy discounting.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Continued scale and customer demand supported consistent top-line growth.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8</xdr:col>
      <xdr:colOff>355600</xdr:colOff>
      <xdr:row>33</xdr:row>
      <xdr:rowOff>127000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C11850E-F2D7-2042-A326-2DEDB8C7034D}"/>
            </a:ext>
          </a:extLst>
        </xdr:cNvPr>
        <xdr:cNvSpPr txBox="1"/>
      </xdr:nvSpPr>
      <xdr:spPr>
        <a:xfrm>
          <a:off x="3911600" y="4508500"/>
          <a:ext cx="3657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Cost Structure</a:t>
          </a:r>
          <a:r>
            <a:rPr lang="en-US" sz="1600" b="1" baseline="0">
              <a:latin typeface="Arial" panose="020B0604020202020204" pitchFamily="34" charset="0"/>
              <a:cs typeface="Arial" panose="020B0604020202020204" pitchFamily="34" charset="0"/>
            </a:rPr>
            <a:t> Logic:</a:t>
          </a:r>
        </a:p>
        <a:p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COGS stayed around ~87–88% of revenue, showing costs scaled with sales but remained controlled.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Cost % peaked in 2022, then improved through 2025, suggesting better efficiency and input cost normalization.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Operating margin improved, implying operating expenses grew slower than revenue (operating leverage).</a:t>
          </a:r>
        </a:p>
        <a:p>
          <a:endParaRPr lang="en-US" sz="1100"/>
        </a:p>
      </xdr:txBody>
    </xdr:sp>
    <xdr:clientData/>
  </xdr:twoCellAnchor>
  <xdr:twoCellAnchor>
    <xdr:from>
      <xdr:col>0</xdr:col>
      <xdr:colOff>939800</xdr:colOff>
      <xdr:row>34</xdr:row>
      <xdr:rowOff>127000</xdr:rowOff>
    </xdr:from>
    <xdr:to>
      <xdr:col>8</xdr:col>
      <xdr:colOff>127000</xdr:colOff>
      <xdr:row>40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44A2C4-8A8F-FD47-A8F1-A18E36D6A210}"/>
            </a:ext>
          </a:extLst>
        </xdr:cNvPr>
        <xdr:cNvSpPr txBox="1"/>
      </xdr:nvSpPr>
      <xdr:spPr>
        <a:xfrm>
          <a:off x="939800" y="7277100"/>
          <a:ext cx="64008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Overall Takeaway: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Overall, revenue expanded consistently while cost as a percent of revenue stayed stable and slightly improved after 2022. Gross margin stayed steady, and operating/net margins trended upward. This suggests the company scaled efficiently and converted growth into higher profitability over time.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11</xdr:row>
      <xdr:rowOff>88900</xdr:rowOff>
    </xdr:from>
    <xdr:to>
      <xdr:col>8</xdr:col>
      <xdr:colOff>152400</xdr:colOff>
      <xdr:row>12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E83E98-4781-C64A-8CF5-DAFC3D9C2B60}"/>
            </a:ext>
          </a:extLst>
        </xdr:cNvPr>
        <xdr:cNvSpPr txBox="1"/>
      </xdr:nvSpPr>
      <xdr:spPr>
        <a:xfrm>
          <a:off x="469900" y="2603500"/>
          <a:ext cx="68580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Valuation is highly sensitive to WACC assumptions, with a 100 bps increase reducing value by ~25–30%.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977900</xdr:colOff>
      <xdr:row>23</xdr:row>
      <xdr:rowOff>88900</xdr:rowOff>
    </xdr:from>
    <xdr:to>
      <xdr:col>8</xdr:col>
      <xdr:colOff>381000</xdr:colOff>
      <xdr:row>25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D60B61-C630-FA47-AC89-BDC5A92FF6FA}"/>
            </a:ext>
          </a:extLst>
        </xdr:cNvPr>
        <xdr:cNvSpPr txBox="1"/>
      </xdr:nvSpPr>
      <xdr:spPr>
        <a:xfrm>
          <a:off x="977900" y="5308600"/>
          <a:ext cx="70866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A 100 bps increase in WACC reduces valuation by approximately 25–30%, while incremental improvements in EBITDA margin materially increase intrinsic value.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139700</xdr:colOff>
      <xdr:row>27</xdr:row>
      <xdr:rowOff>38100</xdr:rowOff>
    </xdr:from>
    <xdr:to>
      <xdr:col>8</xdr:col>
      <xdr:colOff>584200</xdr:colOff>
      <xdr:row>32</xdr:row>
      <xdr:rowOff>88900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17863A-C3A4-9A42-91AF-2FFB857016CA}"/>
            </a:ext>
          </a:extLst>
        </xdr:cNvPr>
        <xdr:cNvSpPr txBox="1"/>
      </xdr:nvSpPr>
      <xdr:spPr>
        <a:xfrm>
          <a:off x="139700" y="6070600"/>
          <a:ext cx="812800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Summary: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The DCF valuation demonstrates high sensitivity to both discount rate and operating margin assumptions. A 100 bps increase in WACC reduces intrinsic value by approximately 25–30%, reflecting the importance of capital cost in long-term valuation. In contrast, improvements in EBITDA margin materially increase value, highlighting operating efficiency as a key upside driver. Overall, valuation outcomes are primarily driven by assumptions around capital structure, profitability, and execution risk.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186871</xdr:rowOff>
    </xdr:from>
    <xdr:to>
      <xdr:col>3</xdr:col>
      <xdr:colOff>800100</xdr:colOff>
      <xdr:row>19</xdr:row>
      <xdr:rowOff>38100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3EAF8E2-CE00-4E51-6D0F-AA093087B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72571</xdr:rowOff>
    </xdr:from>
    <xdr:to>
      <xdr:col>3</xdr:col>
      <xdr:colOff>812800</xdr:colOff>
      <xdr:row>30</xdr:row>
      <xdr:rowOff>127000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EDB1488-A39C-1683-45FB-1D1E359CD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174171</xdr:rowOff>
    </xdr:from>
    <xdr:to>
      <xdr:col>3</xdr:col>
      <xdr:colOff>800100</xdr:colOff>
      <xdr:row>42</xdr:row>
      <xdr:rowOff>25400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CE638846-A201-400F-2635-BAD546120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723900</xdr:colOff>
      <xdr:row>51</xdr:row>
      <xdr:rowOff>1</xdr:rowOff>
    </xdr:from>
    <xdr:to>
      <xdr:col>7</xdr:col>
      <xdr:colOff>787400</xdr:colOff>
      <xdr:row>52</xdr:row>
      <xdr:rowOff>107951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6866A58-8F67-6C4A-78F8-E1848CC7F32D}"/>
            </a:ext>
          </a:extLst>
        </xdr:cNvPr>
        <xdr:cNvSpPr txBox="1"/>
      </xdr:nvSpPr>
      <xdr:spPr>
        <a:xfrm>
          <a:off x="723900" y="11033126"/>
          <a:ext cx="64452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Valuation is most sensitive to discount rate assumptions, with higher WACC materially reducing intrinsic value.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29" sqref="K29"/>
    </sheetView>
  </sheetViews>
  <sheetFormatPr baseColWidth="10" defaultRowHeight="16" x14ac:dyDescent="0.2"/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2" activePane="bottomLeft" state="frozen"/>
      <selection pane="bottomLeft" activeCell="D21" sqref="D21"/>
    </sheetView>
  </sheetViews>
  <sheetFormatPr baseColWidth="10" defaultRowHeight="16" x14ac:dyDescent="0.2"/>
  <cols>
    <col min="1" max="1" width="28.83203125" customWidth="1"/>
    <col min="2" max="5" width="14.83203125" customWidth="1"/>
    <col min="6" max="6" width="45.83203125" customWidth="1"/>
  </cols>
  <sheetData>
    <row r="1" spans="1:9" ht="20" customHeight="1" x14ac:dyDescent="0.2">
      <c r="A1" s="2" t="s">
        <v>0</v>
      </c>
      <c r="B1" s="9"/>
      <c r="C1" s="9"/>
      <c r="D1" s="9"/>
      <c r="E1" s="9"/>
      <c r="F1" s="9"/>
      <c r="G1" s="9"/>
      <c r="H1" s="9"/>
      <c r="I1" s="9"/>
    </row>
    <row r="2" spans="1:9" ht="17" customHeight="1" thickBot="1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s="1" customFormat="1" x14ac:dyDescent="0.2">
      <c r="A3" s="3" t="s">
        <v>1</v>
      </c>
      <c r="B3" s="4" t="s">
        <v>2</v>
      </c>
      <c r="C3" s="4"/>
      <c r="D3" s="4"/>
      <c r="E3" s="4"/>
      <c r="F3" s="5" t="s">
        <v>3</v>
      </c>
    </row>
    <row r="4" spans="1:9" x14ac:dyDescent="0.2">
      <c r="A4" s="20"/>
      <c r="B4" s="9"/>
      <c r="C4" s="9"/>
      <c r="D4" s="9"/>
      <c r="E4" s="9"/>
      <c r="F4" s="21"/>
      <c r="G4" s="9"/>
      <c r="H4" s="9"/>
      <c r="I4" s="9"/>
    </row>
    <row r="5" spans="1:9" x14ac:dyDescent="0.2">
      <c r="A5" s="22" t="s">
        <v>4</v>
      </c>
      <c r="B5" s="9"/>
      <c r="C5" s="9"/>
      <c r="D5" s="9"/>
      <c r="E5" s="9"/>
      <c r="F5" s="21"/>
      <c r="G5" s="9"/>
      <c r="H5" s="1" t="s">
        <v>5</v>
      </c>
      <c r="I5" s="23" t="str">
        <f>'Executive Dashboard'!E4</f>
        <v>Bear</v>
      </c>
    </row>
    <row r="6" spans="1:9" ht="34" x14ac:dyDescent="0.2">
      <c r="A6" s="34" t="s">
        <v>188</v>
      </c>
      <c r="B6" s="24">
        <v>0.08</v>
      </c>
      <c r="C6" s="24"/>
      <c r="D6" s="24"/>
      <c r="E6" s="24"/>
      <c r="F6" s="21" t="s">
        <v>7</v>
      </c>
      <c r="G6" s="9"/>
      <c r="H6" s="9"/>
      <c r="I6" s="9"/>
    </row>
    <row r="7" spans="1:9" x14ac:dyDescent="0.2">
      <c r="A7" s="20" t="s">
        <v>8</v>
      </c>
      <c r="B7" s="24">
        <v>0.11</v>
      </c>
      <c r="C7" s="24"/>
      <c r="D7" s="24"/>
      <c r="E7" s="24"/>
      <c r="F7" s="21"/>
      <c r="G7" s="9"/>
      <c r="H7" s="9"/>
      <c r="I7" s="9"/>
    </row>
    <row r="8" spans="1:9" x14ac:dyDescent="0.2">
      <c r="A8" s="20" t="s">
        <v>9</v>
      </c>
      <c r="B8" s="24">
        <v>0.05</v>
      </c>
      <c r="C8" s="24"/>
      <c r="D8" s="24"/>
      <c r="E8" s="24"/>
      <c r="F8" s="21"/>
      <c r="G8" s="9"/>
      <c r="H8" s="9"/>
      <c r="I8" s="9"/>
    </row>
    <row r="9" spans="1:9" x14ac:dyDescent="0.2">
      <c r="A9" s="20" t="s">
        <v>10</v>
      </c>
      <c r="B9" s="24">
        <v>0.06</v>
      </c>
      <c r="C9" s="24"/>
      <c r="D9" s="24"/>
      <c r="E9" s="24"/>
      <c r="F9" s="21" t="s">
        <v>11</v>
      </c>
      <c r="G9" s="9"/>
      <c r="H9" s="9"/>
      <c r="I9" s="9"/>
    </row>
    <row r="10" spans="1:9" x14ac:dyDescent="0.2">
      <c r="A10" s="20" t="s">
        <v>12</v>
      </c>
      <c r="B10" s="24">
        <v>0.02</v>
      </c>
      <c r="C10" s="24"/>
      <c r="D10" s="24"/>
      <c r="E10" s="24"/>
      <c r="F10" s="21" t="s">
        <v>13</v>
      </c>
      <c r="G10" s="9"/>
      <c r="H10" s="9"/>
      <c r="I10" s="9"/>
    </row>
    <row r="11" spans="1:9" x14ac:dyDescent="0.2">
      <c r="A11" s="20" t="s">
        <v>14</v>
      </c>
      <c r="B11" s="24">
        <f>IF($I$5="Base",$B$6,IF($I$5="Bull",$B$7,$B$8))</f>
        <v>0.05</v>
      </c>
      <c r="C11" s="24"/>
      <c r="D11" s="24"/>
      <c r="E11" s="24"/>
      <c r="F11" s="21"/>
      <c r="G11" s="9"/>
      <c r="H11" s="9"/>
      <c r="I11" s="9"/>
    </row>
    <row r="12" spans="1:9" x14ac:dyDescent="0.2">
      <c r="A12" s="20"/>
      <c r="B12" s="24"/>
      <c r="C12" s="24"/>
      <c r="D12" s="24"/>
      <c r="E12" s="24"/>
      <c r="F12" s="21"/>
      <c r="G12" s="9"/>
      <c r="H12" s="9"/>
      <c r="I12" s="9"/>
    </row>
    <row r="13" spans="1:9" x14ac:dyDescent="0.2">
      <c r="A13" s="22" t="s">
        <v>15</v>
      </c>
      <c r="B13" s="9"/>
      <c r="C13" s="9"/>
      <c r="D13" s="9"/>
      <c r="E13" s="9"/>
      <c r="F13" s="21"/>
      <c r="G13" s="9"/>
      <c r="H13" s="9"/>
      <c r="I13" s="9"/>
    </row>
    <row r="14" spans="1:9" x14ac:dyDescent="0.2">
      <c r="A14" s="20" t="s">
        <v>16</v>
      </c>
      <c r="B14" s="24">
        <f>'Drivers &amp; Cost Structure'!E11</f>
        <v>0.89</v>
      </c>
      <c r="C14" s="24"/>
      <c r="D14" s="24"/>
      <c r="E14" s="24"/>
      <c r="F14" s="21"/>
      <c r="G14" s="9"/>
      <c r="H14" s="9"/>
      <c r="I14" s="9"/>
    </row>
    <row r="15" spans="1:9" x14ac:dyDescent="0.2">
      <c r="A15" s="20" t="s">
        <v>17</v>
      </c>
      <c r="B15" s="24">
        <f>'Drivers &amp; Cost Structure'!E12</f>
        <v>8.5000000000000006E-2</v>
      </c>
      <c r="C15" s="24"/>
      <c r="D15" s="24"/>
      <c r="E15" s="24"/>
      <c r="F15" s="21"/>
      <c r="G15" s="9"/>
      <c r="H15" s="9"/>
      <c r="I15" s="9"/>
    </row>
    <row r="16" spans="1:9" x14ac:dyDescent="0.2">
      <c r="A16" s="20" t="s">
        <v>18</v>
      </c>
      <c r="B16" s="24">
        <f>Sensitivity!$B$16</f>
        <v>0.02</v>
      </c>
      <c r="C16" s="24"/>
      <c r="D16" s="24"/>
      <c r="E16" s="24"/>
      <c r="F16" s="21"/>
      <c r="G16" s="9"/>
      <c r="H16" s="9"/>
      <c r="I16" s="9"/>
    </row>
    <row r="17" spans="1:9" x14ac:dyDescent="0.2">
      <c r="A17" s="20"/>
      <c r="B17" s="24"/>
      <c r="C17" s="24"/>
      <c r="D17" s="24"/>
      <c r="E17" s="24"/>
      <c r="F17" s="21"/>
      <c r="G17" s="9"/>
      <c r="H17" s="9"/>
      <c r="I17" s="9"/>
    </row>
    <row r="18" spans="1:9" x14ac:dyDescent="0.2">
      <c r="A18" s="22" t="s">
        <v>19</v>
      </c>
      <c r="B18" s="24"/>
      <c r="C18" s="24"/>
      <c r="D18" s="24"/>
      <c r="E18" s="24"/>
      <c r="F18" s="21"/>
      <c r="G18" s="9"/>
      <c r="H18" s="9"/>
      <c r="I18" s="9"/>
    </row>
    <row r="19" spans="1:9" x14ac:dyDescent="0.2">
      <c r="A19" s="20" t="s">
        <v>20</v>
      </c>
      <c r="B19" s="24">
        <v>0.24</v>
      </c>
      <c r="C19" s="24"/>
      <c r="D19" s="24"/>
      <c r="E19" s="24"/>
      <c r="F19" s="21"/>
      <c r="G19" s="9"/>
      <c r="H19" s="9"/>
      <c r="I19" s="9"/>
    </row>
    <row r="20" spans="1:9" x14ac:dyDescent="0.2">
      <c r="A20" s="20" t="s">
        <v>21</v>
      </c>
      <c r="B20" s="24">
        <v>1.6E-2</v>
      </c>
      <c r="C20" s="24"/>
      <c r="D20" s="24"/>
      <c r="E20" s="24"/>
      <c r="F20" s="21"/>
      <c r="G20" s="9"/>
      <c r="H20" s="9"/>
      <c r="I20" s="9"/>
    </row>
    <row r="21" spans="1:9" x14ac:dyDescent="0.2">
      <c r="A21" s="20" t="s">
        <v>22</v>
      </c>
      <c r="B21" s="24">
        <v>1.7999999999999999E-2</v>
      </c>
      <c r="C21" s="24">
        <v>1.7000000000000001E-2</v>
      </c>
      <c r="D21" s="24">
        <v>0.02</v>
      </c>
      <c r="E21" s="24">
        <f>IF('Drivers &amp; Cost Structure'!B1="Base", B21,
 IF('Drivers &amp; Cost Structure'!B1="Bull", C21,
 IF('Drivers &amp; Cost Structure'!B1="Bear", D21, "")))</f>
        <v>0.02</v>
      </c>
      <c r="F21" s="21"/>
      <c r="G21" s="9"/>
      <c r="H21" s="9"/>
      <c r="I21" s="9"/>
    </row>
    <row r="22" spans="1:9" x14ac:dyDescent="0.2">
      <c r="A22" s="20" t="s">
        <v>23</v>
      </c>
      <c r="B22" s="24">
        <v>5.0000000000000001E-3</v>
      </c>
      <c r="C22" s="24"/>
      <c r="D22" s="24"/>
      <c r="E22" s="24"/>
      <c r="F22" s="21"/>
      <c r="G22" s="9"/>
      <c r="H22" s="9"/>
      <c r="I22" s="9"/>
    </row>
    <row r="23" spans="1:9" x14ac:dyDescent="0.2">
      <c r="A23" s="20"/>
      <c r="B23" s="24"/>
      <c r="C23" s="24"/>
      <c r="D23" s="24"/>
      <c r="E23" s="24"/>
      <c r="F23" s="21"/>
      <c r="G23" s="9"/>
      <c r="H23" s="9"/>
      <c r="I23" s="9"/>
    </row>
    <row r="24" spans="1:9" x14ac:dyDescent="0.2">
      <c r="A24" s="22" t="s">
        <v>24</v>
      </c>
      <c r="B24" s="24"/>
      <c r="C24" s="24"/>
      <c r="D24" s="24"/>
      <c r="E24" s="24"/>
      <c r="F24" s="21"/>
      <c r="G24" s="9"/>
      <c r="H24" s="9"/>
      <c r="I24" s="9"/>
    </row>
    <row r="25" spans="1:9" x14ac:dyDescent="0.2">
      <c r="A25" s="20" t="s">
        <v>25</v>
      </c>
      <c r="B25" s="24">
        <v>0.04</v>
      </c>
      <c r="C25" s="24"/>
      <c r="D25" s="24"/>
      <c r="E25" s="24"/>
      <c r="F25" s="21"/>
      <c r="G25" s="9"/>
      <c r="H25" s="9"/>
      <c r="I25" s="9"/>
    </row>
    <row r="26" spans="1:9" x14ac:dyDescent="0.2">
      <c r="A26" s="20" t="s">
        <v>26</v>
      </c>
      <c r="B26" s="24">
        <v>5.5E-2</v>
      </c>
      <c r="C26" s="24"/>
      <c r="D26" s="24"/>
      <c r="E26" s="24"/>
      <c r="F26" s="21"/>
      <c r="G26" s="9"/>
      <c r="H26" s="9"/>
      <c r="I26" s="9"/>
    </row>
    <row r="27" spans="1:9" x14ac:dyDescent="0.2">
      <c r="A27" s="20" t="s">
        <v>27</v>
      </c>
      <c r="B27" s="25">
        <v>0.8</v>
      </c>
      <c r="C27" s="25"/>
      <c r="D27" s="25"/>
      <c r="E27" s="25"/>
      <c r="F27" s="21"/>
      <c r="G27" s="9"/>
      <c r="H27" s="9"/>
      <c r="I27" s="9"/>
    </row>
    <row r="28" spans="1:9" x14ac:dyDescent="0.2">
      <c r="A28" s="20" t="s">
        <v>28</v>
      </c>
      <c r="B28" s="24">
        <v>4.4999999999999998E-2</v>
      </c>
      <c r="C28" s="24"/>
      <c r="D28" s="24"/>
      <c r="E28" s="24"/>
      <c r="F28" s="21"/>
      <c r="G28" s="9"/>
      <c r="H28" s="9"/>
      <c r="I28" s="9"/>
    </row>
    <row r="29" spans="1:9" ht="17" customHeight="1" thickBot="1" x14ac:dyDescent="0.25">
      <c r="A29" s="26" t="s">
        <v>29</v>
      </c>
      <c r="B29" s="27">
        <v>2.5000000000000001E-2</v>
      </c>
      <c r="C29" s="27"/>
      <c r="D29" s="27"/>
      <c r="E29" s="27"/>
      <c r="F29" s="28"/>
      <c r="G29" s="9"/>
      <c r="H29" s="9"/>
      <c r="I29" s="9"/>
    </row>
    <row r="30" spans="1:9" x14ac:dyDescent="0.2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">
      <c r="A31" s="9"/>
      <c r="B31" s="9"/>
      <c r="C31" s="9"/>
      <c r="D31" s="9"/>
      <c r="E31" s="9"/>
      <c r="F31" s="9"/>
      <c r="G31" s="9"/>
      <c r="H31" s="9"/>
      <c r="I31" s="9"/>
    </row>
  </sheetData>
  <dataValidations count="1">
    <dataValidation type="list" allowBlank="1" showInputMessage="1" showErrorMessage="1" sqref="I5" xr:uid="{00000000-0002-0000-0100-000000000000}">
      <formula1>"Base, Bull, Bear"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zoomScaleNormal="100" workbookViewId="0">
      <pane ySplit="1" topLeftCell="A2" activePane="bottomLeft" state="frozen"/>
      <selection pane="bottomLeft" activeCell="B8" sqref="B8"/>
    </sheetView>
  </sheetViews>
  <sheetFormatPr baseColWidth="10" defaultRowHeight="16" x14ac:dyDescent="0.2"/>
  <cols>
    <col min="1" max="1" width="34.83203125" style="9" customWidth="1"/>
    <col min="2" max="6" width="15.83203125" style="9" customWidth="1"/>
    <col min="7" max="7" width="10.83203125" style="9" customWidth="1"/>
    <col min="8" max="16384" width="10.83203125" style="9"/>
  </cols>
  <sheetData>
    <row r="1" spans="1:6" ht="21" customHeight="1" thickBot="1" x14ac:dyDescent="0.25">
      <c r="A1" s="8" t="s">
        <v>30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</row>
    <row r="3" spans="1:6" ht="18" customHeight="1" thickBot="1" x14ac:dyDescent="0.25">
      <c r="A3" s="7" t="s">
        <v>31</v>
      </c>
      <c r="B3" s="10"/>
      <c r="C3" s="10"/>
      <c r="D3" s="10"/>
      <c r="E3" s="10"/>
      <c r="F3" s="10"/>
    </row>
    <row r="5" spans="1:6" ht="17" customHeight="1" x14ac:dyDescent="0.2">
      <c r="A5" s="11" t="s">
        <v>32</v>
      </c>
      <c r="B5" s="14">
        <v>195929</v>
      </c>
      <c r="C5" s="14">
        <v>226954</v>
      </c>
      <c r="D5" s="14">
        <v>242290</v>
      </c>
      <c r="E5" s="14">
        <v>254453</v>
      </c>
      <c r="F5" s="14">
        <v>275235</v>
      </c>
    </row>
    <row r="6" spans="1:6" x14ac:dyDescent="0.2">
      <c r="A6" s="9" t="s">
        <v>33</v>
      </c>
      <c r="B6" s="14">
        <v>170684</v>
      </c>
      <c r="C6" s="14">
        <v>199382</v>
      </c>
      <c r="D6" s="14">
        <v>212586</v>
      </c>
      <c r="E6" s="14">
        <v>222358</v>
      </c>
      <c r="F6" s="14">
        <v>239886</v>
      </c>
    </row>
    <row r="7" spans="1:6" x14ac:dyDescent="0.2">
      <c r="A7" s="9" t="s">
        <v>34</v>
      </c>
      <c r="B7" s="14">
        <f>B5-B6</f>
        <v>25245</v>
      </c>
      <c r="C7" s="14">
        <f>C5-C6</f>
        <v>27572</v>
      </c>
      <c r="D7" s="14">
        <f>D5-D6</f>
        <v>29704</v>
      </c>
      <c r="E7" s="14">
        <f>E5-E6</f>
        <v>32095</v>
      </c>
      <c r="F7" s="14">
        <f>F5-F6</f>
        <v>35349</v>
      </c>
    </row>
    <row r="8" spans="1:6" x14ac:dyDescent="0.2">
      <c r="A8" s="9" t="s">
        <v>35</v>
      </c>
      <c r="B8" s="14">
        <v>18537</v>
      </c>
      <c r="C8" s="14">
        <v>19779</v>
      </c>
      <c r="D8" s="14">
        <v>21590</v>
      </c>
      <c r="E8" s="14">
        <v>22810</v>
      </c>
      <c r="F8" s="14">
        <v>24966</v>
      </c>
    </row>
    <row r="9" spans="1:6" x14ac:dyDescent="0.2">
      <c r="A9" s="9" t="s">
        <v>36</v>
      </c>
      <c r="B9" s="14">
        <f>B7-B8</f>
        <v>6708</v>
      </c>
      <c r="C9" s="14">
        <f>C7-C8</f>
        <v>7793</v>
      </c>
      <c r="D9" s="14">
        <f>D7-D8</f>
        <v>8114</v>
      </c>
      <c r="E9" s="14">
        <f>E7-E8</f>
        <v>9285</v>
      </c>
      <c r="F9" s="14">
        <f>F7-F8</f>
        <v>10383</v>
      </c>
    </row>
    <row r="10" spans="1:6" x14ac:dyDescent="0.2">
      <c r="A10" s="9" t="s">
        <v>37</v>
      </c>
      <c r="B10" s="14"/>
      <c r="C10" s="14"/>
      <c r="D10" s="14"/>
      <c r="E10" s="14"/>
      <c r="F10" s="14"/>
    </row>
    <row r="11" spans="1:6" x14ac:dyDescent="0.2">
      <c r="A11" s="9" t="s">
        <v>38</v>
      </c>
      <c r="B11" s="14">
        <f>B9-B10</f>
        <v>6708</v>
      </c>
      <c r="C11" s="14">
        <f>C9-C10</f>
        <v>7793</v>
      </c>
      <c r="D11" s="14">
        <f>D9-D10</f>
        <v>8114</v>
      </c>
      <c r="E11" s="14">
        <f>E9-E10</f>
        <v>9285</v>
      </c>
      <c r="F11" s="14">
        <f>F9-F10</f>
        <v>10383</v>
      </c>
    </row>
    <row r="12" spans="1:6" x14ac:dyDescent="0.2">
      <c r="A12" s="9" t="s">
        <v>39</v>
      </c>
      <c r="B12" s="14">
        <v>171</v>
      </c>
      <c r="C12" s="14">
        <v>158</v>
      </c>
      <c r="D12" s="14">
        <v>160</v>
      </c>
      <c r="E12" s="14">
        <v>169</v>
      </c>
      <c r="F12" s="14">
        <v>154</v>
      </c>
    </row>
    <row r="13" spans="1:6" x14ac:dyDescent="0.2">
      <c r="A13" s="9" t="s">
        <v>40</v>
      </c>
      <c r="B13" s="14">
        <f>B11-B12</f>
        <v>6537</v>
      </c>
      <c r="C13" s="14">
        <f>C11-C12</f>
        <v>7635</v>
      </c>
      <c r="D13" s="14">
        <f>D11-D12</f>
        <v>7954</v>
      </c>
      <c r="E13" s="14">
        <f>E11-E12</f>
        <v>9116</v>
      </c>
      <c r="F13" s="14">
        <f>F11-F12</f>
        <v>10229</v>
      </c>
    </row>
    <row r="14" spans="1:6" x14ac:dyDescent="0.2">
      <c r="A14" s="9" t="s">
        <v>41</v>
      </c>
      <c r="B14" s="14">
        <v>1601</v>
      </c>
      <c r="C14" s="14">
        <v>1925</v>
      </c>
      <c r="D14" s="14">
        <v>2195</v>
      </c>
      <c r="E14" s="14">
        <v>2373</v>
      </c>
      <c r="F14" s="14">
        <v>2719</v>
      </c>
    </row>
    <row r="15" spans="1:6" x14ac:dyDescent="0.2">
      <c r="A15" s="9" t="s">
        <v>42</v>
      </c>
      <c r="B15" s="14">
        <v>5007</v>
      </c>
      <c r="C15" s="14">
        <v>5844</v>
      </c>
      <c r="D15" s="14">
        <v>6292</v>
      </c>
      <c r="E15" s="14">
        <v>7367</v>
      </c>
      <c r="F15" s="14">
        <v>8099</v>
      </c>
    </row>
    <row r="18" spans="1:6" ht="17" customHeight="1" x14ac:dyDescent="0.2">
      <c r="A18" s="12" t="s">
        <v>43</v>
      </c>
      <c r="B18" s="13"/>
      <c r="C18" s="13"/>
      <c r="D18" s="13"/>
      <c r="E18" s="13"/>
      <c r="F18" s="13"/>
    </row>
    <row r="20" spans="1:6" x14ac:dyDescent="0.2">
      <c r="A20" s="1" t="s">
        <v>44</v>
      </c>
    </row>
    <row r="21" spans="1:6" x14ac:dyDescent="0.2">
      <c r="A21" s="9" t="s">
        <v>45</v>
      </c>
      <c r="B21" s="14">
        <v>11258</v>
      </c>
      <c r="C21" s="14">
        <v>10203</v>
      </c>
      <c r="D21" s="14">
        <v>13700</v>
      </c>
      <c r="E21" s="14">
        <v>9906</v>
      </c>
      <c r="F21" s="14">
        <v>14161</v>
      </c>
    </row>
    <row r="22" spans="1:6" x14ac:dyDescent="0.2">
      <c r="A22" s="9" t="s">
        <v>46</v>
      </c>
      <c r="B22" s="14">
        <v>917</v>
      </c>
      <c r="C22" s="14">
        <v>846</v>
      </c>
      <c r="D22" s="14">
        <v>1534</v>
      </c>
      <c r="E22" s="14">
        <v>1238</v>
      </c>
      <c r="F22" s="14">
        <v>1123</v>
      </c>
    </row>
    <row r="23" spans="1:6" x14ac:dyDescent="0.2">
      <c r="A23" s="9" t="s">
        <v>47</v>
      </c>
      <c r="B23" s="14">
        <v>1803</v>
      </c>
      <c r="C23" s="14">
        <v>2241</v>
      </c>
      <c r="D23" s="14">
        <v>2285</v>
      </c>
      <c r="E23" s="14">
        <v>2721</v>
      </c>
      <c r="F23" s="14">
        <v>3203</v>
      </c>
    </row>
    <row r="24" spans="1:6" x14ac:dyDescent="0.2">
      <c r="A24" s="9" t="s">
        <v>48</v>
      </c>
      <c r="B24" s="14">
        <v>14215</v>
      </c>
      <c r="C24" s="14">
        <v>17907</v>
      </c>
      <c r="D24" s="14">
        <v>16651</v>
      </c>
      <c r="E24" s="14">
        <v>18647</v>
      </c>
      <c r="F24" s="14">
        <v>18116</v>
      </c>
    </row>
    <row r="25" spans="1:6" x14ac:dyDescent="0.2">
      <c r="A25" s="9" t="s">
        <v>49</v>
      </c>
      <c r="B25" s="14">
        <v>1312</v>
      </c>
      <c r="C25" s="14">
        <v>1499</v>
      </c>
      <c r="D25" s="14">
        <v>1709</v>
      </c>
      <c r="E25" s="14">
        <v>1734</v>
      </c>
      <c r="F25" s="14">
        <v>1777</v>
      </c>
    </row>
    <row r="26" spans="1:6" x14ac:dyDescent="0.2">
      <c r="A26" s="1" t="s">
        <v>50</v>
      </c>
      <c r="B26" s="14">
        <f>SUM(B21:B25)</f>
        <v>29505</v>
      </c>
      <c r="C26" s="14">
        <f>SUM(C21:C25)</f>
        <v>32696</v>
      </c>
      <c r="D26" s="14">
        <f>SUM(D21:D25)</f>
        <v>35879</v>
      </c>
      <c r="E26" s="14">
        <f>SUM(E21:E25)</f>
        <v>34246</v>
      </c>
      <c r="F26" s="14">
        <f>SUM(F21:F25)</f>
        <v>38380</v>
      </c>
    </row>
    <row r="27" spans="1:6" x14ac:dyDescent="0.2">
      <c r="B27" s="14"/>
      <c r="C27" s="14"/>
      <c r="D27" s="14"/>
      <c r="E27" s="14"/>
      <c r="F27" s="14"/>
    </row>
    <row r="28" spans="1:6" x14ac:dyDescent="0.2">
      <c r="A28" s="9" t="s">
        <v>51</v>
      </c>
      <c r="B28" s="14">
        <v>23492</v>
      </c>
      <c r="C28" s="14">
        <v>24646</v>
      </c>
      <c r="D28" s="14">
        <v>26684</v>
      </c>
      <c r="E28" s="14">
        <v>29032</v>
      </c>
      <c r="F28" s="14">
        <v>31909</v>
      </c>
    </row>
    <row r="29" spans="1:6" x14ac:dyDescent="0.2">
      <c r="A29" s="9" t="s">
        <v>52</v>
      </c>
      <c r="B29" s="14">
        <v>2890</v>
      </c>
      <c r="C29" s="14">
        <v>2774</v>
      </c>
      <c r="D29" s="14">
        <v>2713</v>
      </c>
      <c r="E29" s="14">
        <v>2617</v>
      </c>
      <c r="F29" s="14">
        <v>2725</v>
      </c>
    </row>
    <row r="30" spans="1:6" x14ac:dyDescent="0.2">
      <c r="A30" s="9" t="s">
        <v>53</v>
      </c>
      <c r="B30" s="14">
        <v>3381</v>
      </c>
      <c r="C30" s="14">
        <v>4050</v>
      </c>
      <c r="D30" s="14">
        <v>3718</v>
      </c>
      <c r="E30" s="14">
        <v>3936</v>
      </c>
      <c r="F30" s="14">
        <v>4085</v>
      </c>
    </row>
    <row r="31" spans="1:6" x14ac:dyDescent="0.2">
      <c r="A31" s="1" t="s">
        <v>54</v>
      </c>
      <c r="B31" s="14">
        <f>B26+B28+B29+B30</f>
        <v>59268</v>
      </c>
      <c r="C31" s="14">
        <f>C26+C28+C29+C30</f>
        <v>64166</v>
      </c>
      <c r="D31" s="14">
        <f>D26+D28+D29+D30</f>
        <v>68994</v>
      </c>
      <c r="E31" s="14">
        <f>E26+E28+E29+E30</f>
        <v>69831</v>
      </c>
      <c r="F31" s="14">
        <f>F26+F28+F29+F30</f>
        <v>77099</v>
      </c>
    </row>
    <row r="32" spans="1:6" x14ac:dyDescent="0.2">
      <c r="B32" s="14"/>
      <c r="C32" s="14"/>
      <c r="D32" s="14"/>
      <c r="E32" s="14"/>
      <c r="F32" s="14"/>
    </row>
    <row r="33" spans="1:6" x14ac:dyDescent="0.2">
      <c r="A33" s="1" t="s">
        <v>55</v>
      </c>
      <c r="B33" s="14"/>
      <c r="C33" s="14"/>
      <c r="D33" s="14"/>
      <c r="E33" s="14"/>
      <c r="F33" s="14"/>
    </row>
    <row r="34" spans="1:6" x14ac:dyDescent="0.2">
      <c r="A34" s="9" t="s">
        <v>56</v>
      </c>
      <c r="B34" s="14">
        <v>16278</v>
      </c>
      <c r="C34" s="14">
        <v>17848</v>
      </c>
      <c r="D34" s="14">
        <v>17483</v>
      </c>
      <c r="E34" s="14">
        <v>19421</v>
      </c>
      <c r="F34" s="14">
        <v>19783</v>
      </c>
    </row>
    <row r="35" spans="1:6" x14ac:dyDescent="0.2">
      <c r="A35" s="9" t="s">
        <v>57</v>
      </c>
      <c r="B35" s="14">
        <v>4090</v>
      </c>
      <c r="C35" s="14">
        <v>4381</v>
      </c>
      <c r="D35" s="14">
        <v>4278</v>
      </c>
      <c r="E35" s="14">
        <v>4794</v>
      </c>
      <c r="F35" s="14">
        <v>5205</v>
      </c>
    </row>
    <row r="36" spans="1:6" x14ac:dyDescent="0.2">
      <c r="A36" s="9" t="s">
        <v>58</v>
      </c>
      <c r="B36" s="14">
        <v>1671</v>
      </c>
      <c r="C36" s="14">
        <v>1911</v>
      </c>
      <c r="D36" s="14">
        <v>2150</v>
      </c>
      <c r="E36" s="14">
        <v>2434</v>
      </c>
      <c r="F36" s="14">
        <v>2677</v>
      </c>
    </row>
    <row r="37" spans="1:6" x14ac:dyDescent="0.2">
      <c r="A37" s="9" t="s">
        <v>59</v>
      </c>
      <c r="B37" s="14">
        <v>2042</v>
      </c>
      <c r="C37" s="14">
        <v>2174</v>
      </c>
      <c r="D37" s="14">
        <v>2337</v>
      </c>
      <c r="E37" s="14">
        <v>2501</v>
      </c>
      <c r="F37" s="14">
        <v>2854</v>
      </c>
    </row>
    <row r="38" spans="1:6" x14ac:dyDescent="0.2">
      <c r="A38" s="9" t="s">
        <v>60</v>
      </c>
      <c r="B38" s="14">
        <v>799</v>
      </c>
      <c r="C38" s="14">
        <v>73</v>
      </c>
      <c r="D38" s="14">
        <v>1081</v>
      </c>
      <c r="E38" s="14">
        <v>0</v>
      </c>
      <c r="F38" s="14">
        <v>0</v>
      </c>
    </row>
    <row r="39" spans="1:6" x14ac:dyDescent="0.2">
      <c r="A39" s="9" t="s">
        <v>61</v>
      </c>
      <c r="B39" s="14">
        <v>4561</v>
      </c>
      <c r="C39" s="14">
        <v>5611</v>
      </c>
      <c r="D39" s="14">
        <v>6254</v>
      </c>
      <c r="E39" s="14">
        <v>6313</v>
      </c>
      <c r="F39" s="14">
        <v>6589</v>
      </c>
    </row>
    <row r="40" spans="1:6" x14ac:dyDescent="0.2">
      <c r="A40" s="9" t="s">
        <v>62</v>
      </c>
      <c r="B40" s="14">
        <v>6692</v>
      </c>
      <c r="C40" s="14">
        <v>6484</v>
      </c>
      <c r="D40" s="14">
        <v>5377</v>
      </c>
      <c r="E40" s="14">
        <v>5794</v>
      </c>
      <c r="F40" s="14">
        <v>5713</v>
      </c>
    </row>
    <row r="41" spans="1:6" x14ac:dyDescent="0.2">
      <c r="A41" s="9" t="s">
        <v>63</v>
      </c>
      <c r="B41" s="14">
        <v>2642</v>
      </c>
      <c r="C41" s="14">
        <v>2482</v>
      </c>
      <c r="D41" s="14">
        <v>2426</v>
      </c>
      <c r="E41" s="14">
        <v>2375</v>
      </c>
      <c r="F41" s="14">
        <v>2460</v>
      </c>
    </row>
    <row r="42" spans="1:6" x14ac:dyDescent="0.2">
      <c r="A42" s="9" t="s">
        <v>64</v>
      </c>
      <c r="B42" s="14">
        <v>2415</v>
      </c>
      <c r="C42" s="14">
        <v>2555</v>
      </c>
      <c r="D42" s="14">
        <v>2550</v>
      </c>
      <c r="E42" s="14">
        <v>2576</v>
      </c>
      <c r="F42" s="14">
        <v>2654</v>
      </c>
    </row>
    <row r="43" spans="1:6" x14ac:dyDescent="0.2">
      <c r="A43" s="1" t="s">
        <v>65</v>
      </c>
      <c r="B43" s="14">
        <f>SUM(B34:B42)</f>
        <v>41190</v>
      </c>
      <c r="C43" s="14">
        <f>SUM(C34:C42)</f>
        <v>43519</v>
      </c>
      <c r="D43" s="14">
        <f>SUM(D34:D42)</f>
        <v>43936</v>
      </c>
      <c r="E43" s="14">
        <f>SUM(E34:E42)</f>
        <v>46208</v>
      </c>
      <c r="F43" s="14">
        <f>SUM(F34:F42)</f>
        <v>47935</v>
      </c>
    </row>
    <row r="44" spans="1:6" x14ac:dyDescent="0.2">
      <c r="B44" s="14"/>
      <c r="C44" s="14"/>
      <c r="D44" s="14"/>
      <c r="E44" s="14"/>
      <c r="F44" s="14"/>
    </row>
    <row r="45" spans="1:6" x14ac:dyDescent="0.2">
      <c r="A45" s="1" t="s">
        <v>66</v>
      </c>
      <c r="B45" s="14"/>
      <c r="C45" s="14"/>
      <c r="D45" s="14"/>
      <c r="E45" s="14"/>
      <c r="F45" s="14"/>
    </row>
    <row r="46" spans="1:6" x14ac:dyDescent="0.2">
      <c r="A46" s="9" t="s">
        <v>67</v>
      </c>
      <c r="B46" s="14">
        <v>4</v>
      </c>
      <c r="C46" s="14">
        <v>2</v>
      </c>
      <c r="D46" s="14">
        <v>2</v>
      </c>
      <c r="E46" s="14">
        <v>2</v>
      </c>
      <c r="F46" s="14">
        <v>2</v>
      </c>
    </row>
    <row r="47" spans="1:6" x14ac:dyDescent="0.2">
      <c r="A47" s="9" t="s">
        <v>68</v>
      </c>
      <c r="B47" s="14">
        <v>7031</v>
      </c>
      <c r="C47" s="14">
        <v>6884</v>
      </c>
      <c r="D47" s="14">
        <v>7340</v>
      </c>
      <c r="E47" s="14">
        <v>7830</v>
      </c>
      <c r="F47" s="14">
        <v>8282</v>
      </c>
    </row>
    <row r="48" spans="1:6" x14ac:dyDescent="0.2">
      <c r="A48" s="9" t="s">
        <v>69</v>
      </c>
      <c r="B48" s="14">
        <v>11666</v>
      </c>
      <c r="C48" s="14">
        <v>15585</v>
      </c>
      <c r="D48" s="14">
        <v>19521</v>
      </c>
      <c r="E48" s="14">
        <v>17619</v>
      </c>
      <c r="F48" s="14">
        <v>22650</v>
      </c>
    </row>
    <row r="49" spans="1:6" x14ac:dyDescent="0.2">
      <c r="A49" s="9" t="s">
        <v>70</v>
      </c>
      <c r="B49" s="14">
        <v>514</v>
      </c>
      <c r="C49" s="14">
        <v>5</v>
      </c>
      <c r="D49" s="14">
        <v>0</v>
      </c>
      <c r="E49" s="14">
        <v>0</v>
      </c>
      <c r="F49" s="14">
        <v>0</v>
      </c>
    </row>
    <row r="50" spans="1:6" ht="34" customHeight="1" x14ac:dyDescent="0.2">
      <c r="A50" s="11" t="s">
        <v>71</v>
      </c>
      <c r="B50" s="15">
        <v>-1137</v>
      </c>
      <c r="C50" s="15">
        <v>-1829</v>
      </c>
      <c r="D50" s="15">
        <v>-1805</v>
      </c>
      <c r="E50" s="15">
        <v>-1828</v>
      </c>
      <c r="F50" s="15">
        <v>-1770</v>
      </c>
    </row>
    <row r="51" spans="1:6" x14ac:dyDescent="0.2">
      <c r="A51" s="1" t="s">
        <v>72</v>
      </c>
      <c r="B51" s="14">
        <f>SUM(B46:B50)</f>
        <v>18078</v>
      </c>
      <c r="C51" s="14">
        <f>SUM(C46:C50)</f>
        <v>20647</v>
      </c>
      <c r="D51" s="14">
        <f>SUM(D46:D50)</f>
        <v>25058</v>
      </c>
      <c r="E51" s="14">
        <f>SUM(E46:E50)</f>
        <v>23623</v>
      </c>
      <c r="F51" s="14">
        <f>SUM(F46:F50)</f>
        <v>29164</v>
      </c>
    </row>
    <row r="53" spans="1:6" x14ac:dyDescent="0.2">
      <c r="A53" s="1" t="s">
        <v>73</v>
      </c>
      <c r="B53" s="14">
        <f>B43+B51</f>
        <v>59268</v>
      </c>
      <c r="C53" s="14">
        <f>C43+C51</f>
        <v>64166</v>
      </c>
      <c r="D53" s="14">
        <f>D43+D51</f>
        <v>68994</v>
      </c>
      <c r="E53" s="14">
        <f>E43+E51</f>
        <v>69831</v>
      </c>
      <c r="F53" s="14">
        <f>F43+F51</f>
        <v>77099</v>
      </c>
    </row>
    <row r="55" spans="1:6" ht="17" customHeight="1" x14ac:dyDescent="0.2">
      <c r="A55" s="12" t="s">
        <v>74</v>
      </c>
      <c r="B55" s="13"/>
      <c r="C55" s="13"/>
      <c r="D55" s="13"/>
      <c r="E55" s="13"/>
      <c r="F55" s="13"/>
    </row>
    <row r="57" spans="1:6" x14ac:dyDescent="0.2">
      <c r="A57" s="1" t="s">
        <v>75</v>
      </c>
    </row>
    <row r="58" spans="1:6" x14ac:dyDescent="0.2">
      <c r="A58" s="9" t="s">
        <v>42</v>
      </c>
      <c r="B58" s="14">
        <v>5079</v>
      </c>
      <c r="C58" s="14">
        <v>5915</v>
      </c>
      <c r="D58" s="14">
        <v>6292</v>
      </c>
      <c r="E58" s="14">
        <v>7367</v>
      </c>
      <c r="F58" s="14">
        <v>8099</v>
      </c>
    </row>
    <row r="59" spans="1:6" x14ac:dyDescent="0.2">
      <c r="A59" s="9" t="s">
        <v>37</v>
      </c>
      <c r="B59" s="14">
        <v>1781</v>
      </c>
      <c r="C59" s="14">
        <v>1900</v>
      </c>
      <c r="D59" s="14">
        <v>2077</v>
      </c>
      <c r="E59" s="14">
        <v>2237</v>
      </c>
      <c r="F59" s="14">
        <v>2426</v>
      </c>
    </row>
    <row r="60" spans="1:6" x14ac:dyDescent="0.2">
      <c r="A60" s="9" t="s">
        <v>76</v>
      </c>
      <c r="B60" s="14">
        <v>286</v>
      </c>
      <c r="C60" s="14">
        <v>377</v>
      </c>
      <c r="D60" s="14">
        <v>412</v>
      </c>
      <c r="E60" s="14">
        <v>315</v>
      </c>
      <c r="F60" s="14">
        <v>303</v>
      </c>
    </row>
    <row r="61" spans="1:6" x14ac:dyDescent="0.2">
      <c r="A61" s="9" t="s">
        <v>77</v>
      </c>
      <c r="B61" s="14">
        <v>665</v>
      </c>
      <c r="C61" s="14">
        <v>724</v>
      </c>
      <c r="D61" s="14">
        <v>774</v>
      </c>
      <c r="E61" s="14">
        <v>818</v>
      </c>
      <c r="F61" s="14">
        <v>860</v>
      </c>
    </row>
    <row r="62" spans="1:6" x14ac:dyDescent="0.2">
      <c r="A62" s="9" t="s">
        <v>78</v>
      </c>
      <c r="B62" s="14">
        <v>144</v>
      </c>
      <c r="C62" s="14">
        <v>39</v>
      </c>
      <c r="D62" s="14">
        <v>495</v>
      </c>
      <c r="E62" s="15">
        <v>-9</v>
      </c>
      <c r="F62" s="15">
        <v>-117</v>
      </c>
    </row>
    <row r="63" spans="1:6" ht="17" customHeight="1" x14ac:dyDescent="0.2">
      <c r="A63" s="9" t="s">
        <v>79</v>
      </c>
      <c r="B63" s="15">
        <v>-1892</v>
      </c>
      <c r="C63" s="15">
        <v>-4003</v>
      </c>
      <c r="D63" s="15">
        <v>1228</v>
      </c>
      <c r="E63" s="15">
        <v>-2068</v>
      </c>
      <c r="F63" s="14">
        <v>559</v>
      </c>
    </row>
    <row r="64" spans="1:6" ht="17" customHeight="1" x14ac:dyDescent="0.2">
      <c r="A64" s="9" t="s">
        <v>80</v>
      </c>
      <c r="B64" s="14">
        <v>1838</v>
      </c>
      <c r="C64" s="14">
        <v>1891</v>
      </c>
      <c r="D64" s="15">
        <v>-382</v>
      </c>
      <c r="E64" s="14">
        <v>1938</v>
      </c>
      <c r="F64" s="14">
        <v>404</v>
      </c>
    </row>
    <row r="65" spans="1:6" x14ac:dyDescent="0.2">
      <c r="A65" s="9" t="s">
        <v>81</v>
      </c>
      <c r="B65" s="14">
        <v>1057</v>
      </c>
      <c r="C65" s="14">
        <v>549</v>
      </c>
      <c r="D65" s="14">
        <v>172</v>
      </c>
      <c r="E65" s="14">
        <v>741</v>
      </c>
      <c r="F65" s="14">
        <v>801</v>
      </c>
    </row>
    <row r="66" spans="1:6" x14ac:dyDescent="0.2">
      <c r="A66" s="1" t="s">
        <v>82</v>
      </c>
      <c r="B66" s="14">
        <f>SUM(B58:B65)</f>
        <v>8958</v>
      </c>
      <c r="C66" s="14">
        <f>SUM(C58:C65)</f>
        <v>7392</v>
      </c>
      <c r="D66" s="14">
        <f>SUM(D58:D65)</f>
        <v>11068</v>
      </c>
      <c r="E66" s="14">
        <f>SUM(E58:E65)</f>
        <v>11339</v>
      </c>
      <c r="F66" s="14">
        <f>SUM(F58:F65)</f>
        <v>13335</v>
      </c>
    </row>
    <row r="68" spans="1:6" x14ac:dyDescent="0.2">
      <c r="A68" s="1" t="s">
        <v>83</v>
      </c>
    </row>
    <row r="69" spans="1:6" x14ac:dyDescent="0.2">
      <c r="A69" s="9" t="s">
        <v>84</v>
      </c>
      <c r="B69" s="15">
        <v>-1331</v>
      </c>
      <c r="C69" s="15">
        <v>-1121</v>
      </c>
      <c r="D69" s="15">
        <v>-1622</v>
      </c>
      <c r="E69" s="15">
        <v>-1470</v>
      </c>
      <c r="F69" s="15">
        <v>-1028</v>
      </c>
    </row>
    <row r="70" spans="1:6" x14ac:dyDescent="0.2">
      <c r="A70" s="9" t="s">
        <v>85</v>
      </c>
      <c r="B70" s="15">
        <v>1446</v>
      </c>
      <c r="C70" s="15">
        <v>1145</v>
      </c>
      <c r="D70" s="15">
        <v>937</v>
      </c>
      <c r="E70" s="15">
        <v>1790</v>
      </c>
      <c r="F70" s="15">
        <v>1141</v>
      </c>
    </row>
    <row r="71" spans="1:6" x14ac:dyDescent="0.2">
      <c r="A71" s="9" t="s">
        <v>86</v>
      </c>
      <c r="B71" s="15">
        <v>-3588</v>
      </c>
      <c r="C71" s="15">
        <v>-3891</v>
      </c>
      <c r="D71" s="15">
        <v>-4323</v>
      </c>
      <c r="E71" s="15">
        <v>-4710</v>
      </c>
      <c r="F71" s="15">
        <v>-5498</v>
      </c>
    </row>
    <row r="72" spans="1:6" x14ac:dyDescent="0.2">
      <c r="A72" s="9" t="s">
        <v>87</v>
      </c>
      <c r="B72" s="15">
        <v>-62</v>
      </c>
      <c r="C72" s="15">
        <v>-48</v>
      </c>
      <c r="D72" s="15">
        <v>36</v>
      </c>
      <c r="E72" s="15">
        <v>-19</v>
      </c>
      <c r="F72" s="15">
        <v>74</v>
      </c>
    </row>
    <row r="73" spans="1:6" ht="34" customHeight="1" x14ac:dyDescent="0.2">
      <c r="A73" s="16" t="s">
        <v>88</v>
      </c>
      <c r="B73" s="15">
        <f>SUM(B69:B72)</f>
        <v>-3535</v>
      </c>
      <c r="C73" s="15">
        <f>SUM(C69:C72)</f>
        <v>-3915</v>
      </c>
      <c r="D73" s="15">
        <f>SUM(D69:D72)</f>
        <v>-4972</v>
      </c>
      <c r="E73" s="15">
        <f>SUM(E69:E72)</f>
        <v>-4409</v>
      </c>
      <c r="F73" s="15">
        <f>SUM(F69:F72)</f>
        <v>-5311</v>
      </c>
    </row>
    <row r="75" spans="1:6" x14ac:dyDescent="0.2">
      <c r="A75" s="1" t="s">
        <v>89</v>
      </c>
    </row>
    <row r="76" spans="1:6" x14ac:dyDescent="0.2">
      <c r="A76" s="9" t="s">
        <v>90</v>
      </c>
      <c r="C76" s="15">
        <v>-6</v>
      </c>
      <c r="D76" s="15">
        <v>-935</v>
      </c>
      <c r="E76" s="15">
        <v>-920</v>
      </c>
      <c r="F76" s="15">
        <v>-862</v>
      </c>
    </row>
    <row r="77" spans="1:6" x14ac:dyDescent="0.2">
      <c r="A77" s="9" t="s">
        <v>91</v>
      </c>
      <c r="B77" s="15">
        <v>41</v>
      </c>
      <c r="C77" s="15">
        <v>53</v>
      </c>
      <c r="D77" s="15">
        <v>917</v>
      </c>
      <c r="E77" s="15">
        <v>928</v>
      </c>
      <c r="F77" s="15">
        <v>816</v>
      </c>
    </row>
    <row r="78" spans="1:6" x14ac:dyDescent="0.2">
      <c r="A78" s="9" t="s">
        <v>92</v>
      </c>
      <c r="B78" s="15">
        <v>-94</v>
      </c>
      <c r="C78" s="15">
        <v>-800</v>
      </c>
      <c r="D78" s="15">
        <v>-75</v>
      </c>
      <c r="E78" s="15">
        <v>-1077</v>
      </c>
      <c r="F78" s="15">
        <v>-103</v>
      </c>
    </row>
    <row r="79" spans="1:6" x14ac:dyDescent="0.2">
      <c r="A79" s="9" t="s">
        <v>93</v>
      </c>
      <c r="B79" s="15"/>
      <c r="C79" s="15"/>
      <c r="D79" s="15"/>
      <c r="E79" s="15">
        <v>498</v>
      </c>
      <c r="F79" s="15"/>
    </row>
    <row r="80" spans="1:6" x14ac:dyDescent="0.2">
      <c r="A80" s="9" t="s">
        <v>94</v>
      </c>
      <c r="B80" s="15">
        <v>-312</v>
      </c>
      <c r="C80" s="15">
        <v>-363</v>
      </c>
      <c r="D80" s="15">
        <v>-303</v>
      </c>
      <c r="E80" s="15">
        <v>-315</v>
      </c>
      <c r="F80" s="15">
        <v>-393</v>
      </c>
    </row>
    <row r="81" spans="1:6" x14ac:dyDescent="0.2">
      <c r="A81" s="9" t="s">
        <v>95</v>
      </c>
      <c r="B81" s="15">
        <v>-496</v>
      </c>
      <c r="C81" s="15">
        <v>-439</v>
      </c>
      <c r="D81" s="15">
        <v>-676</v>
      </c>
      <c r="E81" s="15">
        <v>-700</v>
      </c>
      <c r="F81" s="15">
        <v>-903</v>
      </c>
    </row>
    <row r="82" spans="1:6" x14ac:dyDescent="0.2">
      <c r="A82" s="9" t="s">
        <v>96</v>
      </c>
      <c r="B82" s="15"/>
      <c r="C82" s="15">
        <v>-208</v>
      </c>
      <c r="D82" s="15"/>
      <c r="E82" s="15"/>
      <c r="F82" s="15"/>
    </row>
    <row r="83" spans="1:6" x14ac:dyDescent="0.2">
      <c r="A83" s="9" t="s">
        <v>97</v>
      </c>
      <c r="B83" s="15">
        <v>-5748</v>
      </c>
      <c r="C83" s="15">
        <v>-1498</v>
      </c>
      <c r="D83" s="15">
        <v>-1251</v>
      </c>
      <c r="E83" s="15">
        <v>-9041</v>
      </c>
      <c r="F83" s="15">
        <v>-2183</v>
      </c>
    </row>
    <row r="84" spans="1:6" x14ac:dyDescent="0.2">
      <c r="A84" s="9" t="s">
        <v>98</v>
      </c>
      <c r="B84" s="15">
        <v>-67</v>
      </c>
      <c r="C84" s="15">
        <v>-176</v>
      </c>
      <c r="D84" s="15">
        <v>-291</v>
      </c>
      <c r="E84" s="15">
        <v>-137</v>
      </c>
      <c r="F84" s="15">
        <v>-147</v>
      </c>
    </row>
    <row r="85" spans="1:6" x14ac:dyDescent="0.2">
      <c r="A85" s="9" t="s">
        <v>99</v>
      </c>
      <c r="B85" s="15">
        <v>188</v>
      </c>
      <c r="C85" s="15">
        <v>-4</v>
      </c>
      <c r="D85" s="15"/>
      <c r="E85" s="15"/>
      <c r="F85" s="15"/>
    </row>
    <row r="86" spans="1:6" x14ac:dyDescent="0.2">
      <c r="A86" s="1" t="s">
        <v>100</v>
      </c>
      <c r="B86" s="15">
        <f>SUM(B76:B85)</f>
        <v>-6488</v>
      </c>
      <c r="C86" s="15">
        <f>SUM(C76:C85)</f>
        <v>-3441</v>
      </c>
      <c r="D86" s="15">
        <f>SUM(D76:D85)</f>
        <v>-2614</v>
      </c>
      <c r="E86" s="15">
        <f>SUM(E76:E85)</f>
        <v>-10764</v>
      </c>
      <c r="F86" s="15">
        <f>SUM(F76:F85)</f>
        <v>-3775</v>
      </c>
    </row>
    <row r="88" spans="1:6" x14ac:dyDescent="0.2">
      <c r="A88" s="1" t="s">
        <v>101</v>
      </c>
      <c r="B88" s="15">
        <v>-1019</v>
      </c>
      <c r="C88" s="15">
        <v>-1055</v>
      </c>
      <c r="D88" s="15">
        <v>3497</v>
      </c>
      <c r="E88" s="15">
        <v>-3794</v>
      </c>
      <c r="F88" s="15">
        <v>4255</v>
      </c>
    </row>
    <row r="89" spans="1:6" x14ac:dyDescent="0.2">
      <c r="A89" s="9" t="s">
        <v>102</v>
      </c>
      <c r="B89" s="15">
        <v>12277</v>
      </c>
      <c r="C89" s="15">
        <v>11258</v>
      </c>
      <c r="D89" s="15">
        <v>10203</v>
      </c>
      <c r="E89" s="15">
        <v>13700</v>
      </c>
      <c r="F89" s="15">
        <v>9906</v>
      </c>
    </row>
    <row r="90" spans="1:6" x14ac:dyDescent="0.2">
      <c r="A90" s="1" t="s">
        <v>103</v>
      </c>
      <c r="B90" s="15">
        <f>B89+B88</f>
        <v>11258</v>
      </c>
      <c r="C90" s="15">
        <f>C89+C88</f>
        <v>10203</v>
      </c>
      <c r="D90" s="15">
        <f>D89+D88</f>
        <v>13700</v>
      </c>
      <c r="E90" s="15">
        <f>E89+E88</f>
        <v>9906</v>
      </c>
      <c r="F90" s="15">
        <f>F89+F88</f>
        <v>14161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abSelected="1" zoomScale="68" zoomScaleNormal="70" workbookViewId="0">
      <selection activeCell="H40" sqref="H40"/>
    </sheetView>
  </sheetViews>
  <sheetFormatPr baseColWidth="10" defaultRowHeight="16" x14ac:dyDescent="0.2"/>
  <cols>
    <col min="1" max="2" width="15.83203125" style="9" customWidth="1"/>
    <col min="3" max="3" width="15.6640625" style="9" customWidth="1"/>
    <col min="4" max="6" width="15.83203125" style="9" customWidth="1"/>
    <col min="7" max="7" width="15.6640625" style="9" customWidth="1"/>
    <col min="8" max="11" width="15.83203125" style="9" customWidth="1"/>
    <col min="12" max="12" width="10.83203125" style="9" customWidth="1"/>
    <col min="13" max="16384" width="10.83203125" style="9"/>
  </cols>
  <sheetData>
    <row r="1" spans="1:6" ht="34" customHeight="1" x14ac:dyDescent="0.2">
      <c r="A1" s="9" t="s">
        <v>104</v>
      </c>
      <c r="B1" s="9" t="s">
        <v>32</v>
      </c>
      <c r="C1" s="9" t="s">
        <v>105</v>
      </c>
      <c r="D1" s="9" t="s">
        <v>106</v>
      </c>
      <c r="E1" s="11" t="s">
        <v>107</v>
      </c>
      <c r="F1" s="11"/>
    </row>
    <row r="2" spans="1:6" x14ac:dyDescent="0.2">
      <c r="A2" s="9">
        <v>2021</v>
      </c>
      <c r="B2" s="14">
        <f>'Historical Finances'!B5</f>
        <v>195929</v>
      </c>
      <c r="C2" s="14"/>
      <c r="D2" s="14"/>
      <c r="E2" s="14">
        <f>100</f>
        <v>100</v>
      </c>
      <c r="F2" s="14"/>
    </row>
    <row r="3" spans="1:6" x14ac:dyDescent="0.2">
      <c r="A3" s="9">
        <v>2022</v>
      </c>
      <c r="B3" s="14">
        <f>'Historical Finances'!C5</f>
        <v>226954</v>
      </c>
      <c r="C3" s="14">
        <f>B3-B2</f>
        <v>31025</v>
      </c>
      <c r="D3" s="29">
        <f>(B3/B2)-1</f>
        <v>0.15834817714580285</v>
      </c>
      <c r="E3" s="14">
        <f>(B3/$B$2)*100</f>
        <v>115.83481771458028</v>
      </c>
      <c r="F3" s="14"/>
    </row>
    <row r="4" spans="1:6" x14ac:dyDescent="0.2">
      <c r="A4" s="9">
        <v>2023</v>
      </c>
      <c r="B4" s="14">
        <f>'Historical Finances'!D5</f>
        <v>242290</v>
      </c>
      <c r="C4" s="14">
        <f>B4-B3</f>
        <v>15336</v>
      </c>
      <c r="D4" s="29">
        <f>(B4/B3)-1</f>
        <v>6.7573164606043568E-2</v>
      </c>
      <c r="E4" s="14">
        <f>(B4/$B$2)*100</f>
        <v>123.66214291911865</v>
      </c>
      <c r="F4" s="14"/>
    </row>
    <row r="5" spans="1:6" x14ac:dyDescent="0.2">
      <c r="A5" s="9">
        <v>2024</v>
      </c>
      <c r="B5" s="14">
        <f>'Historical Finances'!E5</f>
        <v>254453</v>
      </c>
      <c r="C5" s="14">
        <f>B5-B4</f>
        <v>12163</v>
      </c>
      <c r="D5" s="29">
        <f>(B5/B4)-1</f>
        <v>5.0200173345990251E-2</v>
      </c>
      <c r="E5" s="14">
        <f>(B5/$B$2)*100</f>
        <v>129.87000392999505</v>
      </c>
      <c r="F5" s="14"/>
    </row>
    <row r="6" spans="1:6" x14ac:dyDescent="0.2">
      <c r="A6" s="9">
        <v>2025</v>
      </c>
      <c r="B6" s="14">
        <f>'Historical Finances'!F5</f>
        <v>275235</v>
      </c>
      <c r="C6" s="14">
        <f>B6-B5</f>
        <v>20782</v>
      </c>
      <c r="D6" s="29">
        <f>(B6/B5)-1</f>
        <v>8.1673236314761422E-2</v>
      </c>
      <c r="E6" s="14">
        <f>(B6/$B$2)*100</f>
        <v>140.47690745116853</v>
      </c>
      <c r="F6" s="14"/>
    </row>
    <row r="8" spans="1:6" x14ac:dyDescent="0.2">
      <c r="A8" s="9" t="s">
        <v>108</v>
      </c>
      <c r="C8" s="29">
        <v>8.868248129197176E-2</v>
      </c>
    </row>
    <row r="9" spans="1:6" x14ac:dyDescent="0.2">
      <c r="C9" s="29"/>
    </row>
    <row r="36" spans="1:11" x14ac:dyDescent="0.2">
      <c r="B36" s="32" t="s">
        <v>109</v>
      </c>
      <c r="C36" s="32" t="s">
        <v>110</v>
      </c>
      <c r="D36" s="32" t="s">
        <v>111</v>
      </c>
      <c r="E36" s="32" t="s">
        <v>112</v>
      </c>
      <c r="F36" s="32" t="s">
        <v>113</v>
      </c>
      <c r="G36" s="33" t="s">
        <v>114</v>
      </c>
      <c r="H36" s="33" t="s">
        <v>115</v>
      </c>
      <c r="I36" s="33" t="s">
        <v>116</v>
      </c>
      <c r="J36" s="33" t="s">
        <v>117</v>
      </c>
      <c r="K36" s="33" t="s">
        <v>118</v>
      </c>
    </row>
    <row r="38" spans="1:11" x14ac:dyDescent="0.2">
      <c r="A38" t="s">
        <v>32</v>
      </c>
      <c r="B38" s="14">
        <f>'Historical Finances'!B5</f>
        <v>195929</v>
      </c>
      <c r="C38" s="14">
        <f>'Historical Finances'!C5</f>
        <v>226954</v>
      </c>
      <c r="D38" s="14">
        <f>'Historical Finances'!D5</f>
        <v>242290</v>
      </c>
      <c r="E38" s="14">
        <f>'Historical Finances'!E5</f>
        <v>254453</v>
      </c>
      <c r="F38" s="14">
        <f>'Historical Finances'!F5</f>
        <v>275235</v>
      </c>
      <c r="G38" s="17">
        <f>F38*(1+G40)</f>
        <v>279363.52499999997</v>
      </c>
      <c r="H38" s="17">
        <f>G38*(1+H40)</f>
        <v>283553.97787499992</v>
      </c>
      <c r="I38" s="17">
        <f>H38*(1+I40)</f>
        <v>287807.28754312487</v>
      </c>
      <c r="J38" s="17">
        <f>I38*(1+J40)</f>
        <v>292124.39685627172</v>
      </c>
      <c r="K38" s="17">
        <f>J38*(1+K40)</f>
        <v>296506.26280911575</v>
      </c>
    </row>
    <row r="40" spans="1:11" x14ac:dyDescent="0.2">
      <c r="A40" s="57" t="s">
        <v>119</v>
      </c>
      <c r="B40" s="58"/>
      <c r="G40" s="19">
        <f>'Drivers &amp; Cost Structure'!$E$7</f>
        <v>1.4999999999999999E-2</v>
      </c>
      <c r="H40" s="19">
        <f>'Drivers &amp; Cost Structure'!$E$7</f>
        <v>1.4999999999999999E-2</v>
      </c>
      <c r="I40" s="19">
        <f>'Drivers &amp; Cost Structure'!$E$7</f>
        <v>1.4999999999999999E-2</v>
      </c>
      <c r="J40" s="19">
        <f>'Drivers &amp; Cost Structure'!$E$7</f>
        <v>1.4999999999999999E-2</v>
      </c>
      <c r="K40" s="19">
        <f>'Drivers &amp; Cost Structure'!$E$7</f>
        <v>1.4999999999999999E-2</v>
      </c>
    </row>
    <row r="42" spans="1:11" ht="34" customHeight="1" x14ac:dyDescent="0.2">
      <c r="A42" s="31" t="s">
        <v>120</v>
      </c>
      <c r="B42" s="30">
        <v>5.5749999999999973E-2</v>
      </c>
    </row>
  </sheetData>
  <mergeCells count="1">
    <mergeCell ref="A40:B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>
      <selection activeCell="F2" sqref="F2"/>
    </sheetView>
  </sheetViews>
  <sheetFormatPr baseColWidth="10" defaultRowHeight="16" x14ac:dyDescent="0.2"/>
  <cols>
    <col min="1" max="1" width="18.83203125" customWidth="1"/>
  </cols>
  <sheetData>
    <row r="1" spans="1:5" x14ac:dyDescent="0.2">
      <c r="A1" t="s">
        <v>5</v>
      </c>
      <c r="B1" t="str">
        <f>'Executive Dashboard'!E4</f>
        <v>Bear</v>
      </c>
    </row>
    <row r="4" spans="1:5" ht="17" customHeight="1" x14ac:dyDescent="0.2">
      <c r="A4" s="6" t="s">
        <v>4</v>
      </c>
    </row>
    <row r="5" spans="1:5" x14ac:dyDescent="0.2">
      <c r="B5" t="s">
        <v>6</v>
      </c>
      <c r="C5" t="s">
        <v>121</v>
      </c>
      <c r="D5" t="s">
        <v>122</v>
      </c>
      <c r="E5" t="s">
        <v>123</v>
      </c>
    </row>
    <row r="6" spans="1:5" x14ac:dyDescent="0.2">
      <c r="A6" t="s">
        <v>124</v>
      </c>
      <c r="B6" s="18">
        <v>2.5000000000000001E-2</v>
      </c>
      <c r="C6" s="18">
        <v>3.5000000000000003E-2</v>
      </c>
      <c r="D6" s="18">
        <v>1.4999999999999999E-2</v>
      </c>
      <c r="E6" s="18">
        <f>_xlfn.XLOOKUP($B$1,$B$5:$D$5,$B6:$D6)</f>
        <v>1.4999999999999999E-2</v>
      </c>
    </row>
    <row r="7" spans="1:5" x14ac:dyDescent="0.2">
      <c r="A7" t="s">
        <v>125</v>
      </c>
      <c r="B7" s="19">
        <v>0.03</v>
      </c>
      <c r="C7" s="19">
        <v>4.4999999999999998E-2</v>
      </c>
      <c r="D7" s="19">
        <v>1.4999999999999999E-2</v>
      </c>
      <c r="E7" s="19">
        <f>_xlfn.XLOOKUP($B$1,$B$5:$D$5,$B7:$D7)</f>
        <v>1.4999999999999999E-2</v>
      </c>
    </row>
    <row r="9" spans="1:5" x14ac:dyDescent="0.2">
      <c r="A9" t="s">
        <v>126</v>
      </c>
    </row>
    <row r="10" spans="1:5" x14ac:dyDescent="0.2">
      <c r="B10" t="s">
        <v>6</v>
      </c>
      <c r="C10" t="s">
        <v>121</v>
      </c>
      <c r="D10" t="s">
        <v>122</v>
      </c>
      <c r="E10" t="s">
        <v>123</v>
      </c>
    </row>
    <row r="11" spans="1:5" x14ac:dyDescent="0.2">
      <c r="A11" t="s">
        <v>16</v>
      </c>
      <c r="B11" s="19">
        <v>0.88500000000000001</v>
      </c>
      <c r="C11" s="19">
        <v>0.875</v>
      </c>
      <c r="D11" s="19">
        <v>0.89</v>
      </c>
      <c r="E11" s="19">
        <f>_xlfn.XLOOKUP($B$1,$B$10:$D$10,$B11:$D11)</f>
        <v>0.89</v>
      </c>
    </row>
    <row r="12" spans="1:5" ht="34" customHeight="1" x14ac:dyDescent="0.2">
      <c r="A12" s="6" t="s">
        <v>17</v>
      </c>
      <c r="B12" s="19">
        <v>0.08</v>
      </c>
      <c r="C12" s="19">
        <v>7.4999999999999997E-2</v>
      </c>
      <c r="D12" s="19">
        <v>8.5000000000000006E-2</v>
      </c>
      <c r="E12" s="19">
        <f>_xlfn.XLOOKUP($B$1,$B$10:$D$10,$B12:$D12)</f>
        <v>8.5000000000000006E-2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16"/>
  <sheetViews>
    <sheetView zoomScale="70" zoomScaleNormal="70" workbookViewId="0">
      <selection activeCell="N50" sqref="N50"/>
    </sheetView>
  </sheetViews>
  <sheetFormatPr baseColWidth="10" defaultRowHeight="16" x14ac:dyDescent="0.2"/>
  <cols>
    <col min="1" max="1" width="16.83203125" style="9" customWidth="1"/>
    <col min="2" max="11" width="15.83203125" style="9" customWidth="1"/>
    <col min="12" max="16384" width="10.83203125" style="9"/>
  </cols>
  <sheetData>
    <row r="2" spans="1:13" x14ac:dyDescent="0.2"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  <c r="J2" s="9" t="s">
        <v>117</v>
      </c>
      <c r="K2" s="9" t="s">
        <v>118</v>
      </c>
    </row>
    <row r="4" spans="1:13" x14ac:dyDescent="0.2">
      <c r="A4" s="9" t="s">
        <v>32</v>
      </c>
      <c r="B4" s="14">
        <f>'3-Statement Model'!B6</f>
        <v>195929</v>
      </c>
      <c r="C4" s="14">
        <f>'3-Statement Model'!C6</f>
        <v>226954</v>
      </c>
      <c r="D4" s="14">
        <f>'3-Statement Model'!D6</f>
        <v>242290</v>
      </c>
      <c r="E4" s="14">
        <f>'3-Statement Model'!E6</f>
        <v>254453</v>
      </c>
      <c r="F4" s="14">
        <f>'3-Statement Model'!F6</f>
        <v>275235</v>
      </c>
      <c r="G4" s="14">
        <f>'3-Statement Model'!G6</f>
        <v>279363.52499999997</v>
      </c>
      <c r="H4" s="14">
        <f>'3-Statement Model'!H6</f>
        <v>283553.97787499992</v>
      </c>
      <c r="I4" s="14">
        <f>'3-Statement Model'!I6</f>
        <v>287807.28754312487</v>
      </c>
      <c r="J4" s="14">
        <f>'3-Statement Model'!J6</f>
        <v>292124.39685627172</v>
      </c>
      <c r="K4" s="14">
        <f>'3-Statement Model'!K6</f>
        <v>296506.26280911575</v>
      </c>
      <c r="L4" s="14"/>
      <c r="M4" s="14"/>
    </row>
    <row r="5" spans="1:13" x14ac:dyDescent="0.2">
      <c r="A5" s="9" t="s">
        <v>127</v>
      </c>
      <c r="B5" s="15">
        <f>'3-Statement Model'!B7</f>
        <v>170684</v>
      </c>
      <c r="C5" s="15">
        <f>'3-Statement Model'!C7</f>
        <v>199382</v>
      </c>
      <c r="D5" s="15">
        <f>'3-Statement Model'!D7</f>
        <v>212586</v>
      </c>
      <c r="E5" s="15">
        <f>'3-Statement Model'!E7</f>
        <v>222358</v>
      </c>
      <c r="F5" s="15">
        <f>'3-Statement Model'!F7</f>
        <v>239886</v>
      </c>
      <c r="G5" s="15">
        <f>'3-Statement Model'!G7</f>
        <v>248633.53724999996</v>
      </c>
      <c r="H5" s="15">
        <f>'3-Statement Model'!H7</f>
        <v>252363.04030874994</v>
      </c>
      <c r="I5" s="15">
        <f>'3-Statement Model'!I7</f>
        <v>256148.48591338113</v>
      </c>
      <c r="J5" s="15">
        <f>'3-Statement Model'!J7</f>
        <v>259990.71320208182</v>
      </c>
      <c r="K5" s="15">
        <f>'3-Statement Model'!K7</f>
        <v>263890.573900113</v>
      </c>
    </row>
    <row r="6" spans="1:13" x14ac:dyDescent="0.2">
      <c r="A6" s="9" t="s">
        <v>34</v>
      </c>
      <c r="B6" s="14">
        <f t="shared" ref="B6:K6" si="0">B4-B5</f>
        <v>25245</v>
      </c>
      <c r="C6" s="14">
        <f t="shared" si="0"/>
        <v>27572</v>
      </c>
      <c r="D6" s="14">
        <f t="shared" si="0"/>
        <v>29704</v>
      </c>
      <c r="E6" s="14">
        <f t="shared" si="0"/>
        <v>32095</v>
      </c>
      <c r="F6" s="14">
        <f t="shared" si="0"/>
        <v>35349</v>
      </c>
      <c r="G6" s="14">
        <f t="shared" si="0"/>
        <v>30729.98775</v>
      </c>
      <c r="H6" s="14">
        <f t="shared" si="0"/>
        <v>31190.937566249981</v>
      </c>
      <c r="I6" s="14">
        <f t="shared" si="0"/>
        <v>31658.801629743743</v>
      </c>
      <c r="J6" s="14">
        <f t="shared" si="0"/>
        <v>32133.683654189896</v>
      </c>
      <c r="K6" s="14">
        <f t="shared" si="0"/>
        <v>32615.688909002754</v>
      </c>
    </row>
    <row r="7" spans="1:13" x14ac:dyDescent="0.2">
      <c r="A7" s="9" t="s">
        <v>35</v>
      </c>
      <c r="B7" s="15">
        <f>'3-Statement Model'!B9</f>
        <v>16653.965</v>
      </c>
      <c r="C7" s="15">
        <f>'3-Statement Model'!C9</f>
        <v>19779</v>
      </c>
      <c r="D7" s="15">
        <f>'3-Statement Model'!D9</f>
        <v>21590</v>
      </c>
      <c r="E7" s="15">
        <f>'3-Statement Model'!E9</f>
        <v>22810</v>
      </c>
      <c r="F7" s="15">
        <f>'3-Statement Model'!F9</f>
        <v>24966</v>
      </c>
      <c r="G7" s="15">
        <f>'3-Statement Model'!G9</f>
        <v>23745.899624999998</v>
      </c>
      <c r="H7" s="15">
        <f>'3-Statement Model'!H9</f>
        <v>24102.088119374996</v>
      </c>
      <c r="I7" s="15">
        <f>'3-Statement Model'!I9</f>
        <v>24463.619441165614</v>
      </c>
      <c r="J7" s="15">
        <f>'3-Statement Model'!J9</f>
        <v>24830.573732783098</v>
      </c>
      <c r="K7" s="15">
        <f>'3-Statement Model'!K9</f>
        <v>25203.032338774839</v>
      </c>
    </row>
    <row r="8" spans="1:13" x14ac:dyDescent="0.2">
      <c r="A8" s="9" t="s">
        <v>36</v>
      </c>
      <c r="B8" s="14">
        <f>'3-Statement Model'!B10</f>
        <v>8591.0349999999999</v>
      </c>
      <c r="C8" s="14">
        <f>'3-Statement Model'!C10</f>
        <v>7793</v>
      </c>
      <c r="D8" s="14">
        <f>'3-Statement Model'!D10</f>
        <v>8114</v>
      </c>
      <c r="E8" s="14">
        <f>'3-Statement Model'!E10</f>
        <v>9285</v>
      </c>
      <c r="F8" s="14">
        <f>'3-Statement Model'!F10</f>
        <v>10383</v>
      </c>
      <c r="G8" s="14">
        <f>'3-Statement Model'!G10</f>
        <v>6984.088125000002</v>
      </c>
      <c r="H8" s="14">
        <f>'3-Statement Model'!H10</f>
        <v>7088.849446874985</v>
      </c>
      <c r="I8" s="14">
        <f>'3-Statement Model'!I10</f>
        <v>7195.1821885781283</v>
      </c>
      <c r="J8" s="14">
        <f>'3-Statement Model'!J10</f>
        <v>7303.1099214067981</v>
      </c>
      <c r="K8" s="14">
        <f>'3-Statement Model'!K10</f>
        <v>7412.6565702279149</v>
      </c>
    </row>
    <row r="9" spans="1:13" x14ac:dyDescent="0.2">
      <c r="A9" s="9" t="s">
        <v>128</v>
      </c>
      <c r="B9" s="35">
        <f t="shared" ref="B9:K9" si="1">B6/B4</f>
        <v>0.12884769482822858</v>
      </c>
      <c r="C9" s="35">
        <f t="shared" si="1"/>
        <v>0.12148717361227385</v>
      </c>
      <c r="D9" s="35">
        <f t="shared" si="1"/>
        <v>0.12259688802674482</v>
      </c>
      <c r="E9" s="35">
        <f t="shared" si="1"/>
        <v>0.1261333134213391</v>
      </c>
      <c r="F9" s="35">
        <f t="shared" si="1"/>
        <v>0.12843206714262356</v>
      </c>
      <c r="G9" s="35">
        <f t="shared" si="1"/>
        <v>0.11000000000000001</v>
      </c>
      <c r="H9" s="35">
        <f t="shared" si="1"/>
        <v>0.10999999999999996</v>
      </c>
      <c r="I9" s="35">
        <f t="shared" si="1"/>
        <v>0.11000000000000003</v>
      </c>
      <c r="J9" s="35">
        <f t="shared" si="1"/>
        <v>0.11000000000000003</v>
      </c>
      <c r="K9" s="35">
        <f t="shared" si="1"/>
        <v>0.11000000000000007</v>
      </c>
    </row>
    <row r="10" spans="1:13" x14ac:dyDescent="0.2">
      <c r="A10" s="9" t="s">
        <v>129</v>
      </c>
      <c r="B10" s="35">
        <f t="shared" ref="B10:K10" si="2">B8/B4</f>
        <v>4.3847694828228589E-2</v>
      </c>
      <c r="C10" s="35">
        <f t="shared" si="2"/>
        <v>3.4337354706240032E-2</v>
      </c>
      <c r="D10" s="35">
        <f t="shared" si="2"/>
        <v>3.3488794419910026E-2</v>
      </c>
      <c r="E10" s="35">
        <f t="shared" si="2"/>
        <v>3.6490039417888566E-2</v>
      </c>
      <c r="F10" s="35">
        <f t="shared" si="2"/>
        <v>3.7724126655403561E-2</v>
      </c>
      <c r="G10" s="35">
        <f>G8/G4</f>
        <v>2.5000000000000012E-2</v>
      </c>
      <c r="H10" s="35">
        <f t="shared" si="2"/>
        <v>2.4999999999999953E-2</v>
      </c>
      <c r="I10" s="35">
        <f t="shared" si="2"/>
        <v>2.5000000000000022E-2</v>
      </c>
      <c r="J10" s="35">
        <f t="shared" si="2"/>
        <v>2.5000000000000019E-2</v>
      </c>
      <c r="K10" s="35">
        <f t="shared" si="2"/>
        <v>2.5000000000000071E-2</v>
      </c>
    </row>
    <row r="13" spans="1:13" ht="34" customHeight="1" x14ac:dyDescent="0.2">
      <c r="A13" s="11" t="s">
        <v>130</v>
      </c>
    </row>
    <row r="14" spans="1:13" ht="34" customHeight="1" x14ac:dyDescent="0.2">
      <c r="A14" s="11" t="s">
        <v>131</v>
      </c>
      <c r="B14" s="35">
        <f>K9-F9</f>
        <v>-1.8432067142623493E-2</v>
      </c>
      <c r="C14" s="35"/>
      <c r="D14" s="35"/>
      <c r="E14" s="35"/>
      <c r="F14" s="35"/>
      <c r="G14" s="35"/>
      <c r="H14" s="35"/>
      <c r="I14" s="35"/>
      <c r="J14" s="35"/>
      <c r="K14" s="35"/>
    </row>
    <row r="15" spans="1:13" x14ac:dyDescent="0.2">
      <c r="A15" s="9" t="s">
        <v>132</v>
      </c>
      <c r="B15" s="35">
        <f>(-$K$7/$K$4)-(-$F$7/$F$4)</f>
        <v>5.707940487220009E-3</v>
      </c>
      <c r="C15" s="35"/>
      <c r="D15" s="35"/>
      <c r="E15" s="35"/>
      <c r="F15" s="35"/>
      <c r="G15" s="35"/>
      <c r="H15" s="35"/>
      <c r="I15" s="35"/>
      <c r="J15" s="35"/>
      <c r="K15" s="35"/>
    </row>
    <row r="16" spans="1:13" ht="34" customHeight="1" x14ac:dyDescent="0.2">
      <c r="A16" s="11" t="s">
        <v>133</v>
      </c>
      <c r="B16" s="35">
        <f>$K$10-$F$10</f>
        <v>-1.2724126655403491E-2</v>
      </c>
      <c r="C16" s="35"/>
      <c r="D16" s="35"/>
      <c r="E16" s="35"/>
      <c r="F16" s="35"/>
      <c r="G16" s="35"/>
      <c r="H16" s="35"/>
      <c r="I16" s="35"/>
      <c r="J16" s="35"/>
      <c r="K16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44"/>
  <sheetViews>
    <sheetView zoomScale="70" zoomScaleNormal="70" workbookViewId="0">
      <selection activeCell="D6" sqref="D6"/>
    </sheetView>
  </sheetViews>
  <sheetFormatPr baseColWidth="10" defaultRowHeight="16" x14ac:dyDescent="0.2"/>
  <cols>
    <col min="1" max="1" width="19.83203125" style="9" customWidth="1"/>
    <col min="2" max="11" width="15.83203125" style="9" customWidth="1"/>
    <col min="12" max="16384" width="10.83203125" style="9"/>
  </cols>
  <sheetData>
    <row r="2" spans="1:11" x14ac:dyDescent="0.2">
      <c r="A2" s="9" t="s">
        <v>104</v>
      </c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  <c r="J2" s="9" t="s">
        <v>117</v>
      </c>
      <c r="K2" s="9" t="s">
        <v>118</v>
      </c>
    </row>
    <row r="4" spans="1:11" x14ac:dyDescent="0.2">
      <c r="A4" s="1" t="s">
        <v>134</v>
      </c>
    </row>
    <row r="6" spans="1:11" ht="16" customHeight="1" x14ac:dyDescent="0.2">
      <c r="A6" s="9" t="s">
        <v>32</v>
      </c>
      <c r="B6" s="36">
        <f>'Revenue Model'!B38</f>
        <v>195929</v>
      </c>
      <c r="C6" s="36">
        <f>'Revenue Model'!C38</f>
        <v>226954</v>
      </c>
      <c r="D6" s="36">
        <f>'Revenue Model'!D38</f>
        <v>242290</v>
      </c>
      <c r="E6" s="36">
        <f>'Revenue Model'!E38</f>
        <v>254453</v>
      </c>
      <c r="F6" s="36">
        <f>'Revenue Model'!F38</f>
        <v>275235</v>
      </c>
      <c r="G6" s="36">
        <f>'Revenue Model'!G38</f>
        <v>279363.52499999997</v>
      </c>
      <c r="H6" s="36">
        <f>'Revenue Model'!H38</f>
        <v>283553.97787499992</v>
      </c>
      <c r="I6" s="36">
        <f>'Revenue Model'!I38</f>
        <v>287807.28754312487</v>
      </c>
      <c r="J6" s="36">
        <f>'Revenue Model'!J38</f>
        <v>292124.39685627172</v>
      </c>
      <c r="K6" s="36">
        <f>'Revenue Model'!K38</f>
        <v>296506.26280911575</v>
      </c>
    </row>
    <row r="7" spans="1:11" x14ac:dyDescent="0.2">
      <c r="A7" s="9" t="s">
        <v>127</v>
      </c>
      <c r="B7" s="37">
        <f>'Historical Finances'!B6</f>
        <v>170684</v>
      </c>
      <c r="C7" s="15">
        <f>'Historical Finances'!C6</f>
        <v>199382</v>
      </c>
      <c r="D7" s="15">
        <f>'Historical Finances'!D6</f>
        <v>212586</v>
      </c>
      <c r="E7" s="15">
        <f>'Historical Finances'!E6</f>
        <v>222358</v>
      </c>
      <c r="F7" s="15">
        <f>'Historical Finances'!F6</f>
        <v>239886</v>
      </c>
      <c r="G7" s="15">
        <f>G6 * Assumptions!$B$14</f>
        <v>248633.53724999996</v>
      </c>
      <c r="H7" s="15">
        <f>H6 * Assumptions!$B$14</f>
        <v>252363.04030874994</v>
      </c>
      <c r="I7" s="15">
        <f>I6 * Assumptions!$B$14</f>
        <v>256148.48591338113</v>
      </c>
      <c r="J7" s="15">
        <f>J6 * Assumptions!$B$14</f>
        <v>259990.71320208182</v>
      </c>
      <c r="K7" s="15">
        <f>K6 * Assumptions!$B$14</f>
        <v>263890.573900113</v>
      </c>
    </row>
    <row r="8" spans="1:11" x14ac:dyDescent="0.2">
      <c r="A8" s="9" t="s">
        <v>34</v>
      </c>
      <c r="B8" s="14">
        <f t="shared" ref="B8:K8" si="0">B6-B7</f>
        <v>25245</v>
      </c>
      <c r="C8" s="14">
        <f t="shared" si="0"/>
        <v>27572</v>
      </c>
      <c r="D8" s="14">
        <f t="shared" si="0"/>
        <v>29704</v>
      </c>
      <c r="E8" s="14">
        <f t="shared" si="0"/>
        <v>32095</v>
      </c>
      <c r="F8" s="14">
        <f t="shared" si="0"/>
        <v>35349</v>
      </c>
      <c r="G8" s="14">
        <f t="shared" si="0"/>
        <v>30729.98775</v>
      </c>
      <c r="H8" s="14">
        <f t="shared" si="0"/>
        <v>31190.937566249981</v>
      </c>
      <c r="I8" s="14">
        <f>I6-I7</f>
        <v>31658.801629743743</v>
      </c>
      <c r="J8" s="14">
        <f t="shared" si="0"/>
        <v>32133.683654189896</v>
      </c>
      <c r="K8" s="14">
        <f t="shared" si="0"/>
        <v>32615.688909002754</v>
      </c>
    </row>
    <row r="9" spans="1:11" x14ac:dyDescent="0.2">
      <c r="A9" s="9" t="s">
        <v>35</v>
      </c>
      <c r="B9" s="15">
        <f>B6*Opex_Pct</f>
        <v>16653.965</v>
      </c>
      <c r="C9" s="15">
        <f>'Historical Finances'!C8</f>
        <v>19779</v>
      </c>
      <c r="D9" s="15">
        <f>'Historical Finances'!D8</f>
        <v>21590</v>
      </c>
      <c r="E9" s="15">
        <f>'Historical Finances'!E8</f>
        <v>22810</v>
      </c>
      <c r="F9" s="15">
        <f>'Historical Finances'!F8</f>
        <v>24966</v>
      </c>
      <c r="G9" s="15">
        <f>G6*Opex_Pct</f>
        <v>23745.899624999998</v>
      </c>
      <c r="H9" s="15">
        <f>H6*Opex_Pct</f>
        <v>24102.088119374996</v>
      </c>
      <c r="I9" s="15">
        <f>I6*Opex_Pct</f>
        <v>24463.619441165614</v>
      </c>
      <c r="J9" s="15">
        <f>J6*Opex_Pct</f>
        <v>24830.573732783098</v>
      </c>
      <c r="K9" s="15">
        <f>K6*Opex_Pct</f>
        <v>25203.032338774839</v>
      </c>
    </row>
    <row r="10" spans="1:11" x14ac:dyDescent="0.2">
      <c r="A10" s="9" t="s">
        <v>36</v>
      </c>
      <c r="B10" s="14">
        <f t="shared" ref="B10:K10" si="1">B8-B9</f>
        <v>8591.0349999999999</v>
      </c>
      <c r="C10" s="14">
        <f t="shared" si="1"/>
        <v>7793</v>
      </c>
      <c r="D10" s="14">
        <f t="shared" si="1"/>
        <v>8114</v>
      </c>
      <c r="E10" s="14">
        <f t="shared" si="1"/>
        <v>9285</v>
      </c>
      <c r="F10" s="14">
        <f t="shared" si="1"/>
        <v>10383</v>
      </c>
      <c r="G10" s="14">
        <f t="shared" si="1"/>
        <v>6984.088125000002</v>
      </c>
      <c r="H10" s="14">
        <f t="shared" si="1"/>
        <v>7088.849446874985</v>
      </c>
      <c r="I10" s="14">
        <f t="shared" si="1"/>
        <v>7195.1821885781283</v>
      </c>
      <c r="J10" s="14">
        <f t="shared" si="1"/>
        <v>7303.1099214067981</v>
      </c>
      <c r="K10" s="14">
        <f t="shared" si="1"/>
        <v>7412.6565702279149</v>
      </c>
    </row>
    <row r="11" spans="1:11" ht="34" customHeight="1" x14ac:dyDescent="0.2">
      <c r="A11" s="11" t="s">
        <v>37</v>
      </c>
      <c r="B11" s="15">
        <f>B6 * Assumptions!$B$20</f>
        <v>3134.864</v>
      </c>
      <c r="C11" s="15">
        <f>C6 * Assumptions!$B$20</f>
        <v>3631.2640000000001</v>
      </c>
      <c r="D11" s="15">
        <f>D6 * Assumptions!$B$20</f>
        <v>3876.64</v>
      </c>
      <c r="E11" s="15">
        <f>E6 * Assumptions!$B$20</f>
        <v>4071.248</v>
      </c>
      <c r="F11" s="15">
        <f>F6 * Assumptions!$B$20</f>
        <v>4403.76</v>
      </c>
      <c r="G11" s="15">
        <f>G6 * Assumptions!$B$20</f>
        <v>4469.8163999999997</v>
      </c>
      <c r="H11" s="15">
        <f>H6 * Assumptions!$B$20</f>
        <v>4536.8636459999989</v>
      </c>
      <c r="I11" s="15">
        <f>I6 * Assumptions!$B$20</f>
        <v>4604.9166006899977</v>
      </c>
      <c r="J11" s="15">
        <f>J6 * Assumptions!$B$20</f>
        <v>4673.9903497003479</v>
      </c>
      <c r="K11" s="15">
        <f>K6 * Assumptions!$B$20</f>
        <v>4744.1002049458521</v>
      </c>
    </row>
    <row r="12" spans="1:11" x14ac:dyDescent="0.2">
      <c r="A12" s="9" t="s">
        <v>135</v>
      </c>
      <c r="B12" s="14">
        <f t="shared" ref="B12:K12" si="2">B10-B11</f>
        <v>5456.1710000000003</v>
      </c>
      <c r="C12" s="14">
        <f t="shared" si="2"/>
        <v>4161.7359999999999</v>
      </c>
      <c r="D12" s="14">
        <f t="shared" si="2"/>
        <v>4237.3600000000006</v>
      </c>
      <c r="E12" s="14">
        <f t="shared" si="2"/>
        <v>5213.7520000000004</v>
      </c>
      <c r="F12" s="14">
        <f t="shared" si="2"/>
        <v>5979.24</v>
      </c>
      <c r="G12" s="14">
        <f t="shared" si="2"/>
        <v>2514.2717250000023</v>
      </c>
      <c r="H12" s="14">
        <f t="shared" si="2"/>
        <v>2551.9858008749861</v>
      </c>
      <c r="I12" s="14">
        <f t="shared" si="2"/>
        <v>2590.2655878881305</v>
      </c>
      <c r="J12" s="14">
        <f t="shared" si="2"/>
        <v>2629.1195717064502</v>
      </c>
      <c r="K12" s="14">
        <f t="shared" si="2"/>
        <v>2668.5563652820629</v>
      </c>
    </row>
    <row r="13" spans="1:11" x14ac:dyDescent="0.2">
      <c r="A13" s="9" t="s">
        <v>136</v>
      </c>
      <c r="B13" s="15">
        <f>IF(B12&gt;0, B12 * Assumptions!$B$19, 0)</f>
        <v>1309.4810400000001</v>
      </c>
      <c r="C13" s="15">
        <f>IF(C12&gt;0, C12 * Assumptions!$B$19, 0)</f>
        <v>998.81663999999989</v>
      </c>
      <c r="D13" s="15">
        <f>IF(D12&gt;0, D12 * Assumptions!$B$19, 0)</f>
        <v>1016.9664000000001</v>
      </c>
      <c r="E13" s="15">
        <f>IF(E12&gt;0, E12 * Assumptions!$B$19, 0)</f>
        <v>1251.3004800000001</v>
      </c>
      <c r="F13" s="15">
        <f>IF(F12&gt;0, F12 * Assumptions!$B$19, 0)</f>
        <v>1435.0175999999999</v>
      </c>
      <c r="G13" s="15">
        <f>IF(G12&gt;0, G12 * Assumptions!$B$19, 0)</f>
        <v>603.42521400000055</v>
      </c>
      <c r="H13" s="15">
        <f>IF(H12&gt;0, H12 * Assumptions!$B$19, 0)</f>
        <v>612.47659220999662</v>
      </c>
      <c r="I13" s="15">
        <f>IF(I12&gt;0, I12 * Assumptions!$B$19, 0)</f>
        <v>621.66374109315132</v>
      </c>
      <c r="J13" s="15">
        <f>IF(J12&gt;0, J12 * Assumptions!$B$19, 0)</f>
        <v>630.98869720954804</v>
      </c>
      <c r="K13" s="15">
        <f>IF(K12&gt;0, K12 * Assumptions!$B$19, 0)</f>
        <v>640.45352766769508</v>
      </c>
    </row>
    <row r="14" spans="1:11" x14ac:dyDescent="0.2">
      <c r="A14" s="9" t="s">
        <v>42</v>
      </c>
      <c r="B14" s="14">
        <f t="shared" ref="B14:K14" si="3">B12-B13</f>
        <v>4146.6899599999997</v>
      </c>
      <c r="C14" s="14">
        <f t="shared" si="3"/>
        <v>3162.9193599999999</v>
      </c>
      <c r="D14" s="14">
        <f t="shared" si="3"/>
        <v>3220.3936000000003</v>
      </c>
      <c r="E14" s="14">
        <f t="shared" si="3"/>
        <v>3962.4515200000005</v>
      </c>
      <c r="F14" s="14">
        <f t="shared" si="3"/>
        <v>4544.2223999999997</v>
      </c>
      <c r="G14" s="14">
        <f t="shared" si="3"/>
        <v>1910.8465110000018</v>
      </c>
      <c r="H14" s="14">
        <f t="shared" si="3"/>
        <v>1939.5092086649895</v>
      </c>
      <c r="I14" s="14">
        <f t="shared" si="3"/>
        <v>1968.6018467949793</v>
      </c>
      <c r="J14" s="14">
        <f t="shared" si="3"/>
        <v>1998.1308744969022</v>
      </c>
      <c r="K14" s="14">
        <f t="shared" si="3"/>
        <v>2028.1028376143677</v>
      </c>
    </row>
    <row r="17" spans="1:11" x14ac:dyDescent="0.2">
      <c r="A17" s="1" t="s">
        <v>137</v>
      </c>
    </row>
    <row r="19" spans="1:11" x14ac:dyDescent="0.2">
      <c r="A19" s="9" t="s">
        <v>42</v>
      </c>
      <c r="B19" s="14">
        <f t="shared" ref="B19:K19" si="4">B14</f>
        <v>4146.6899599999997</v>
      </c>
      <c r="C19" s="14">
        <f t="shared" si="4"/>
        <v>3162.9193599999999</v>
      </c>
      <c r="D19" s="14">
        <f t="shared" si="4"/>
        <v>3220.3936000000003</v>
      </c>
      <c r="E19" s="14">
        <f t="shared" si="4"/>
        <v>3962.4515200000005</v>
      </c>
      <c r="F19" s="14">
        <f t="shared" si="4"/>
        <v>4544.2223999999997</v>
      </c>
      <c r="G19" s="14">
        <f t="shared" si="4"/>
        <v>1910.8465110000018</v>
      </c>
      <c r="H19" s="14">
        <f t="shared" si="4"/>
        <v>1939.5092086649895</v>
      </c>
      <c r="I19" s="14">
        <f t="shared" si="4"/>
        <v>1968.6018467949793</v>
      </c>
      <c r="J19" s="14">
        <f t="shared" si="4"/>
        <v>1998.1308744969022</v>
      </c>
      <c r="K19" s="14">
        <f t="shared" si="4"/>
        <v>2028.1028376143677</v>
      </c>
    </row>
    <row r="20" spans="1:11" ht="34" customHeight="1" x14ac:dyDescent="0.2">
      <c r="A20" s="11" t="s">
        <v>37</v>
      </c>
      <c r="B20" s="15">
        <f t="shared" ref="B20:K20" si="5">B11</f>
        <v>3134.864</v>
      </c>
      <c r="C20" s="15">
        <f t="shared" si="5"/>
        <v>3631.2640000000001</v>
      </c>
      <c r="D20" s="15">
        <f t="shared" si="5"/>
        <v>3876.64</v>
      </c>
      <c r="E20" s="15">
        <f t="shared" si="5"/>
        <v>4071.248</v>
      </c>
      <c r="F20" s="15">
        <f t="shared" si="5"/>
        <v>4403.76</v>
      </c>
      <c r="G20" s="15">
        <f t="shared" si="5"/>
        <v>4469.8163999999997</v>
      </c>
      <c r="H20" s="15">
        <f t="shared" si="5"/>
        <v>4536.8636459999989</v>
      </c>
      <c r="I20" s="15">
        <f t="shared" si="5"/>
        <v>4604.9166006899977</v>
      </c>
      <c r="J20" s="15">
        <f t="shared" si="5"/>
        <v>4673.9903497003479</v>
      </c>
      <c r="K20" s="15">
        <f t="shared" si="5"/>
        <v>4744.1002049458521</v>
      </c>
    </row>
    <row r="21" spans="1:11" ht="34" customHeight="1" x14ac:dyDescent="0.2">
      <c r="A21" s="11" t="s">
        <v>138</v>
      </c>
      <c r="B21" s="9">
        <f>0</f>
        <v>0</v>
      </c>
      <c r="C21" s="15">
        <f>(C$6-B$6)*Assumptions!$B$22</f>
        <v>155.125</v>
      </c>
      <c r="D21" s="15">
        <f>(D$6-C$6)*Assumptions!$B$22</f>
        <v>76.680000000000007</v>
      </c>
      <c r="E21" s="15">
        <f>(E$6-D$6)*Assumptions!$B$22</f>
        <v>60.814999999999998</v>
      </c>
      <c r="F21" s="15">
        <f>(F$6-E$6)*Assumptions!$B$22</f>
        <v>103.91</v>
      </c>
      <c r="G21" s="15">
        <f>(G$6-F$6)*Assumptions!$B$22</f>
        <v>20.642624999999825</v>
      </c>
      <c r="H21" s="15">
        <f>(H$6-G$6)*Assumptions!$B$22</f>
        <v>20.952264374999796</v>
      </c>
      <c r="I21" s="15">
        <f>(I$6-H$6)*Assumptions!$B$22</f>
        <v>21.266548340624723</v>
      </c>
      <c r="J21" s="15">
        <f>(J$6-I$6)*Assumptions!$B$22</f>
        <v>21.585546565734258</v>
      </c>
      <c r="K21" s="15">
        <f>(K$6-J$6)*Assumptions!$B$22</f>
        <v>21.909329764220164</v>
      </c>
    </row>
    <row r="22" spans="1:11" ht="34" customHeight="1" x14ac:dyDescent="0.2">
      <c r="A22" s="11" t="s">
        <v>139</v>
      </c>
      <c r="B22" s="14">
        <f t="shared" ref="B22:K22" si="6">B19+B20-B21</f>
        <v>7281.5539599999993</v>
      </c>
      <c r="C22" s="14">
        <f t="shared" si="6"/>
        <v>6639.05836</v>
      </c>
      <c r="D22" s="14">
        <f t="shared" si="6"/>
        <v>7020.3536000000004</v>
      </c>
      <c r="E22" s="14">
        <f t="shared" si="6"/>
        <v>7972.8845200000005</v>
      </c>
      <c r="F22" s="14">
        <f t="shared" si="6"/>
        <v>8844.0724000000009</v>
      </c>
      <c r="G22" s="14">
        <f t="shared" si="6"/>
        <v>6360.0202860000018</v>
      </c>
      <c r="H22" s="14">
        <f t="shared" si="6"/>
        <v>6455.4205902899885</v>
      </c>
      <c r="I22" s="14">
        <f t="shared" si="6"/>
        <v>6552.251899144353</v>
      </c>
      <c r="J22" s="14">
        <f t="shared" si="6"/>
        <v>6650.5356776315157</v>
      </c>
      <c r="K22" s="14">
        <f t="shared" si="6"/>
        <v>6750.2937127959995</v>
      </c>
    </row>
    <row r="24" spans="1:11" x14ac:dyDescent="0.2">
      <c r="A24" s="9" t="s">
        <v>140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15">
        <f>-G$6*Assumptions!$B$21</f>
        <v>-5028.5434499999992</v>
      </c>
      <c r="H24" s="15">
        <f>-H$6*Assumptions!$B$21</f>
        <v>-5103.9716017499986</v>
      </c>
      <c r="I24" s="15">
        <f>-I$6*Assumptions!$B$21</f>
        <v>-5180.5311757762474</v>
      </c>
      <c r="J24" s="15">
        <f>-J$6*Assumptions!$B$21</f>
        <v>-5258.2391434128904</v>
      </c>
      <c r="K24" s="15">
        <f>-K$6*Assumptions!$B$21</f>
        <v>-5337.112730564083</v>
      </c>
    </row>
    <row r="25" spans="1:11" ht="34" customHeight="1" x14ac:dyDescent="0.2">
      <c r="A25" s="11" t="s">
        <v>141</v>
      </c>
      <c r="B25" s="9">
        <f t="shared" ref="B25:K25" si="7">B24</f>
        <v>0</v>
      </c>
      <c r="C25" s="9">
        <f t="shared" si="7"/>
        <v>0</v>
      </c>
      <c r="D25" s="9">
        <f t="shared" si="7"/>
        <v>0</v>
      </c>
      <c r="E25" s="9">
        <f t="shared" si="7"/>
        <v>0</v>
      </c>
      <c r="F25" s="9">
        <f t="shared" si="7"/>
        <v>0</v>
      </c>
      <c r="G25" s="15">
        <f t="shared" si="7"/>
        <v>-5028.5434499999992</v>
      </c>
      <c r="H25" s="15">
        <f t="shared" si="7"/>
        <v>-5103.9716017499986</v>
      </c>
      <c r="I25" s="15">
        <f t="shared" si="7"/>
        <v>-5180.5311757762474</v>
      </c>
      <c r="J25" s="15">
        <f t="shared" si="7"/>
        <v>-5258.2391434128904</v>
      </c>
      <c r="K25" s="15">
        <f t="shared" si="7"/>
        <v>-5337.112730564083</v>
      </c>
    </row>
    <row r="27" spans="1:11" x14ac:dyDescent="0.2">
      <c r="A27" s="9" t="s">
        <v>142</v>
      </c>
      <c r="B27" s="14">
        <f t="shared" ref="B27:K27" si="8">B22+B25</f>
        <v>7281.5539599999993</v>
      </c>
      <c r="C27" s="14">
        <f t="shared" si="8"/>
        <v>6639.05836</v>
      </c>
      <c r="D27" s="14">
        <f t="shared" si="8"/>
        <v>7020.3536000000004</v>
      </c>
      <c r="E27" s="14">
        <f t="shared" si="8"/>
        <v>7972.8845200000005</v>
      </c>
      <c r="F27" s="14">
        <f t="shared" si="8"/>
        <v>8844.0724000000009</v>
      </c>
      <c r="G27" s="14">
        <f t="shared" si="8"/>
        <v>1331.4768360000025</v>
      </c>
      <c r="H27" s="14">
        <f t="shared" si="8"/>
        <v>1351.4489885399898</v>
      </c>
      <c r="I27" s="14">
        <f t="shared" si="8"/>
        <v>1371.7207233681056</v>
      </c>
      <c r="J27" s="14">
        <f t="shared" si="8"/>
        <v>1392.2965342186253</v>
      </c>
      <c r="K27" s="14">
        <f t="shared" si="8"/>
        <v>1413.1809822319165</v>
      </c>
    </row>
    <row r="29" spans="1:11" x14ac:dyDescent="0.2">
      <c r="A29" s="9" t="s">
        <v>143</v>
      </c>
      <c r="B29" s="14">
        <f>'Historical Finances'!B21</f>
        <v>11258</v>
      </c>
      <c r="C29" s="14">
        <f>'Historical Finances'!C21</f>
        <v>10203</v>
      </c>
      <c r="D29" s="14">
        <f>'Historical Finances'!D21</f>
        <v>13700</v>
      </c>
      <c r="E29" s="14">
        <f>'Historical Finances'!E21</f>
        <v>9906</v>
      </c>
      <c r="F29" s="14">
        <f>'Historical Finances'!F21</f>
        <v>14161</v>
      </c>
      <c r="G29" s="14">
        <f>F30</f>
        <v>14161</v>
      </c>
      <c r="H29" s="14">
        <f>G30</f>
        <v>15492.476836000002</v>
      </c>
      <c r="I29" s="14">
        <f>H30</f>
        <v>16843.925824539991</v>
      </c>
      <c r="J29" s="14">
        <f>I30</f>
        <v>18215.646547908094</v>
      </c>
      <c r="K29" s="14">
        <f>J30</f>
        <v>19607.94308212672</v>
      </c>
    </row>
    <row r="30" spans="1:11" x14ac:dyDescent="0.2">
      <c r="A30" s="9" t="s">
        <v>144</v>
      </c>
      <c r="B30" s="14">
        <f>'Historical Finances'!B21</f>
        <v>11258</v>
      </c>
      <c r="C30" s="14">
        <f>'Historical Finances'!C21</f>
        <v>10203</v>
      </c>
      <c r="D30" s="14">
        <f>'Historical Finances'!D21</f>
        <v>13700</v>
      </c>
      <c r="E30" s="14">
        <f>'Historical Finances'!E21</f>
        <v>9906</v>
      </c>
      <c r="F30" s="14">
        <f>'Historical Finances'!F21</f>
        <v>14161</v>
      </c>
      <c r="G30" s="14">
        <f>G29+G27</f>
        <v>15492.476836000002</v>
      </c>
      <c r="H30" s="14">
        <f>H29+H27</f>
        <v>16843.925824539991</v>
      </c>
      <c r="I30" s="14">
        <f>I29+I27</f>
        <v>18215.646547908094</v>
      </c>
      <c r="J30" s="14">
        <f>J29+J27</f>
        <v>19607.94308212672</v>
      </c>
      <c r="K30" s="14">
        <f>K29+K27</f>
        <v>21021.124064358635</v>
      </c>
    </row>
    <row r="32" spans="1:11" x14ac:dyDescent="0.2">
      <c r="A32" s="9" t="s">
        <v>187</v>
      </c>
      <c r="G32" s="14">
        <f>'DCF Valuation'!B28</f>
        <v>2538.3272640000037</v>
      </c>
      <c r="H32" s="14">
        <f>'DCF Valuation'!C28</f>
        <v>2576.4021729599835</v>
      </c>
      <c r="I32" s="14">
        <f>'DCF Valuation'!D28</f>
        <v>2615.0482055544071</v>
      </c>
      <c r="J32" s="14">
        <f>'DCF Valuation'!E28</f>
        <v>2654.2739286377218</v>
      </c>
      <c r="K32" s="14">
        <f>'DCF Valuation'!F28</f>
        <v>2694.0880375673069</v>
      </c>
    </row>
    <row r="34" spans="1:11" x14ac:dyDescent="0.2">
      <c r="A34" s="1" t="s">
        <v>145</v>
      </c>
    </row>
    <row r="36" spans="1:11" x14ac:dyDescent="0.2">
      <c r="A36" s="9" t="s">
        <v>146</v>
      </c>
      <c r="B36" s="14">
        <f t="shared" ref="B36:K36" si="9">B30</f>
        <v>11258</v>
      </c>
      <c r="C36" s="14">
        <f t="shared" si="9"/>
        <v>10203</v>
      </c>
      <c r="D36" s="14">
        <f t="shared" si="9"/>
        <v>13700</v>
      </c>
      <c r="E36" s="14">
        <f t="shared" si="9"/>
        <v>9906</v>
      </c>
      <c r="F36" s="14">
        <f t="shared" si="9"/>
        <v>14161</v>
      </c>
      <c r="G36" s="14">
        <f t="shared" si="9"/>
        <v>15492.476836000002</v>
      </c>
      <c r="H36" s="14">
        <f t="shared" si="9"/>
        <v>16843.925824539991</v>
      </c>
      <c r="I36" s="14">
        <f t="shared" si="9"/>
        <v>18215.646547908094</v>
      </c>
      <c r="J36" s="14">
        <f t="shared" si="9"/>
        <v>19607.94308212672</v>
      </c>
      <c r="K36" s="14">
        <f t="shared" si="9"/>
        <v>21021.124064358635</v>
      </c>
    </row>
    <row r="37" spans="1:11" x14ac:dyDescent="0.2">
      <c r="A37" s="9" t="s">
        <v>147</v>
      </c>
      <c r="B37" s="9">
        <f>0</f>
        <v>0</v>
      </c>
      <c r="C37" s="9">
        <f>0</f>
        <v>0</v>
      </c>
      <c r="D37" s="9">
        <f>0</f>
        <v>0</v>
      </c>
      <c r="E37" s="9">
        <f>0</f>
        <v>0</v>
      </c>
      <c r="F37" s="9">
        <f>0</f>
        <v>0</v>
      </c>
      <c r="G37" s="15">
        <f>G$6*Assumptions!$B$22</f>
        <v>1396.8176249999999</v>
      </c>
      <c r="H37" s="15">
        <f>H$6*Assumptions!$B$22</f>
        <v>1417.7698893749996</v>
      </c>
      <c r="I37" s="15">
        <f>I$6*Assumptions!$B$22</f>
        <v>1439.0364377156243</v>
      </c>
      <c r="J37" s="15">
        <f>J$6*Assumptions!$B$22</f>
        <v>1460.6219842813587</v>
      </c>
      <c r="K37" s="15">
        <f>K$6*Assumptions!$B$22</f>
        <v>1482.5313140455787</v>
      </c>
    </row>
    <row r="38" spans="1:11" x14ac:dyDescent="0.2">
      <c r="A38" s="9" t="s">
        <v>148</v>
      </c>
      <c r="B38" s="14">
        <f>'Historical Finances'!B28</f>
        <v>23492</v>
      </c>
      <c r="C38" s="14">
        <f>'Historical Finances'!C28</f>
        <v>24646</v>
      </c>
      <c r="D38" s="14">
        <f>'Historical Finances'!D28</f>
        <v>26684</v>
      </c>
      <c r="E38" s="14">
        <f>'Historical Finances'!E28</f>
        <v>29032</v>
      </c>
      <c r="F38" s="14">
        <f>'Historical Finances'!F28</f>
        <v>31909</v>
      </c>
      <c r="G38" s="14">
        <f>F38 + G24 - G11</f>
        <v>22410.640150000003</v>
      </c>
      <c r="H38" s="14">
        <f>G38 + H24 - H11</f>
        <v>12769.804902250005</v>
      </c>
      <c r="I38" s="14">
        <f>H38 + I24 - I11</f>
        <v>2984.3571257837602</v>
      </c>
      <c r="J38" s="14">
        <f>I38 + J24 - J11</f>
        <v>-6947.872367329478</v>
      </c>
      <c r="K38" s="14">
        <f>J38 + K24 - K11</f>
        <v>-17029.085302839412</v>
      </c>
    </row>
    <row r="39" spans="1:11" x14ac:dyDescent="0.2">
      <c r="A39" s="9" t="s">
        <v>54</v>
      </c>
      <c r="B39" s="14">
        <f t="shared" ref="B39:K39" si="10">B36+B37+B38</f>
        <v>34750</v>
      </c>
      <c r="C39" s="14">
        <f t="shared" si="10"/>
        <v>34849</v>
      </c>
      <c r="D39" s="14">
        <f t="shared" si="10"/>
        <v>40384</v>
      </c>
      <c r="E39" s="14">
        <f t="shared" si="10"/>
        <v>38938</v>
      </c>
      <c r="F39" s="14">
        <f t="shared" si="10"/>
        <v>46070</v>
      </c>
      <c r="G39" s="14">
        <f t="shared" si="10"/>
        <v>39299.934611000004</v>
      </c>
      <c r="H39" s="14">
        <f t="shared" si="10"/>
        <v>31031.500616164994</v>
      </c>
      <c r="I39" s="14">
        <f t="shared" si="10"/>
        <v>22639.040111407481</v>
      </c>
      <c r="J39" s="14">
        <f t="shared" si="10"/>
        <v>14120.692699078601</v>
      </c>
      <c r="K39" s="14">
        <f t="shared" si="10"/>
        <v>5474.5700755648031</v>
      </c>
    </row>
    <row r="41" spans="1:11" x14ac:dyDescent="0.2">
      <c r="A41" s="9" t="s">
        <v>149</v>
      </c>
      <c r="B41" s="14">
        <f>'Historical Finances'!B38 + 'Historical Finances'!B40</f>
        <v>7491</v>
      </c>
      <c r="C41" s="14">
        <f>'Historical Finances'!C38 + 'Historical Finances'!C40</f>
        <v>6557</v>
      </c>
      <c r="D41" s="14">
        <f>'Historical Finances'!D38 + 'Historical Finances'!D40</f>
        <v>6458</v>
      </c>
      <c r="E41" s="14">
        <f>'Historical Finances'!E38 + 'Historical Finances'!E40</f>
        <v>5794</v>
      </c>
      <c r="F41" s="14">
        <f>'Historical Finances'!F38 + 'Historical Finances'!F40</f>
        <v>5713</v>
      </c>
      <c r="G41" s="14">
        <f>$F$41</f>
        <v>5713</v>
      </c>
      <c r="H41" s="14">
        <f>$F$41</f>
        <v>5713</v>
      </c>
      <c r="I41" s="14">
        <f>$F$41</f>
        <v>5713</v>
      </c>
      <c r="J41" s="14">
        <f>$F$41</f>
        <v>5713</v>
      </c>
      <c r="K41" s="14">
        <f>$F$41</f>
        <v>5713</v>
      </c>
    </row>
    <row r="42" spans="1:11" x14ac:dyDescent="0.2">
      <c r="A42" s="9" t="s">
        <v>150</v>
      </c>
      <c r="B42" s="14">
        <f t="shared" ref="B42:K42" si="11">B39-B41</f>
        <v>27259</v>
      </c>
      <c r="C42" s="14">
        <f t="shared" si="11"/>
        <v>28292</v>
      </c>
      <c r="D42" s="14">
        <f t="shared" si="11"/>
        <v>33926</v>
      </c>
      <c r="E42" s="14">
        <f t="shared" si="11"/>
        <v>33144</v>
      </c>
      <c r="F42" s="14">
        <f t="shared" si="11"/>
        <v>40357</v>
      </c>
      <c r="G42" s="14">
        <f t="shared" si="11"/>
        <v>33586.934611000004</v>
      </c>
      <c r="H42" s="14">
        <f t="shared" si="11"/>
        <v>25318.500616164994</v>
      </c>
      <c r="I42" s="14">
        <f t="shared" si="11"/>
        <v>16926.040111407481</v>
      </c>
      <c r="J42" s="14">
        <f t="shared" si="11"/>
        <v>8407.6926990786014</v>
      </c>
      <c r="K42" s="14">
        <f t="shared" si="11"/>
        <v>-238.42992443519688</v>
      </c>
    </row>
    <row r="43" spans="1:11" ht="34" customHeight="1" x14ac:dyDescent="0.2">
      <c r="A43" s="11" t="s">
        <v>73</v>
      </c>
      <c r="B43" s="14">
        <f t="shared" ref="B43:K43" si="12">B41+B42</f>
        <v>34750</v>
      </c>
      <c r="C43" s="14">
        <f t="shared" si="12"/>
        <v>34849</v>
      </c>
      <c r="D43" s="14">
        <f t="shared" si="12"/>
        <v>40384</v>
      </c>
      <c r="E43" s="14">
        <f t="shared" si="12"/>
        <v>38938</v>
      </c>
      <c r="F43" s="14">
        <f t="shared" si="12"/>
        <v>46070</v>
      </c>
      <c r="G43" s="14">
        <f t="shared" si="12"/>
        <v>39299.934611000004</v>
      </c>
      <c r="H43" s="14">
        <f t="shared" si="12"/>
        <v>31031.500616164994</v>
      </c>
      <c r="I43" s="14">
        <f t="shared" si="12"/>
        <v>22639.040111407481</v>
      </c>
      <c r="J43" s="14">
        <f t="shared" si="12"/>
        <v>14120.692699078601</v>
      </c>
      <c r="K43" s="14">
        <f t="shared" si="12"/>
        <v>5474.5700755648031</v>
      </c>
    </row>
    <row r="44" spans="1:11" ht="34" customHeight="1" x14ac:dyDescent="0.2">
      <c r="A44" s="11" t="s">
        <v>151</v>
      </c>
      <c r="B44" s="14">
        <f t="shared" ref="B44:K44" si="13">B39-B43</f>
        <v>0</v>
      </c>
      <c r="C44" s="14">
        <f t="shared" si="13"/>
        <v>0</v>
      </c>
      <c r="D44" s="14">
        <f t="shared" si="13"/>
        <v>0</v>
      </c>
      <c r="E44" s="14">
        <f t="shared" si="13"/>
        <v>0</v>
      </c>
      <c r="F44" s="14">
        <f t="shared" si="13"/>
        <v>0</v>
      </c>
      <c r="G44" s="14">
        <f t="shared" si="13"/>
        <v>0</v>
      </c>
      <c r="H44" s="14">
        <f t="shared" si="13"/>
        <v>0</v>
      </c>
      <c r="I44" s="14">
        <f t="shared" si="13"/>
        <v>0</v>
      </c>
      <c r="J44" s="14">
        <f t="shared" si="13"/>
        <v>0</v>
      </c>
      <c r="K44" s="14">
        <f t="shared" si="1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3"/>
  <sheetViews>
    <sheetView showGridLines="0" zoomScaleNormal="100" workbookViewId="0">
      <pane ySplit="1" topLeftCell="A24" activePane="bottomLeft" state="frozen"/>
      <selection pane="bottomLeft" activeCell="B22" sqref="B22"/>
    </sheetView>
  </sheetViews>
  <sheetFormatPr baseColWidth="10" defaultRowHeight="16" x14ac:dyDescent="0.2"/>
  <cols>
    <col min="1" max="1" width="24.83203125" style="9" customWidth="1"/>
    <col min="2" max="2" width="12" style="9" bestFit="1" customWidth="1"/>
    <col min="3" max="16384" width="10.83203125" style="9"/>
  </cols>
  <sheetData>
    <row r="1" spans="1:8" x14ac:dyDescent="0.2">
      <c r="A1" s="1" t="s">
        <v>152</v>
      </c>
    </row>
    <row r="3" spans="1:8" x14ac:dyDescent="0.2">
      <c r="A3" s="9" t="s">
        <v>25</v>
      </c>
      <c r="B3" s="29">
        <f>Assumptions!B25</f>
        <v>0.04</v>
      </c>
    </row>
    <row r="4" spans="1:8" x14ac:dyDescent="0.2">
      <c r="A4" s="9" t="s">
        <v>26</v>
      </c>
      <c r="B4" s="29">
        <f>Assumptions!B26</f>
        <v>5.5E-2</v>
      </c>
    </row>
    <row r="5" spans="1:8" x14ac:dyDescent="0.2">
      <c r="A5" s="9" t="s">
        <v>27</v>
      </c>
      <c r="B5" s="46">
        <f>Assumptions!B27</f>
        <v>0.8</v>
      </c>
    </row>
    <row r="6" spans="1:8" x14ac:dyDescent="0.2">
      <c r="A6" s="9" t="s">
        <v>153</v>
      </c>
      <c r="B6" s="29">
        <f>B3+(B5*B4)</f>
        <v>8.4000000000000005E-2</v>
      </c>
      <c r="C6" s="59"/>
      <c r="D6" s="58"/>
      <c r="E6" s="58"/>
      <c r="F6" s="29"/>
    </row>
    <row r="7" spans="1:8" x14ac:dyDescent="0.2">
      <c r="A7" s="9" t="s">
        <v>28</v>
      </c>
      <c r="B7" s="29">
        <f>Assumptions!B28</f>
        <v>4.4999999999999998E-2</v>
      </c>
      <c r="C7" s="59"/>
      <c r="D7" s="58"/>
      <c r="E7" s="58"/>
      <c r="F7" s="29"/>
    </row>
    <row r="8" spans="1:8" ht="15" customHeight="1" x14ac:dyDescent="0.2">
      <c r="A8" s="9" t="s">
        <v>154</v>
      </c>
      <c r="B8" s="29">
        <f>Assumptions!B19</f>
        <v>0.24</v>
      </c>
    </row>
    <row r="9" spans="1:8" x14ac:dyDescent="0.2">
      <c r="A9" s="9" t="s">
        <v>155</v>
      </c>
      <c r="B9" s="29">
        <f>B7*(1-B8)</f>
        <v>3.4200000000000001E-2</v>
      </c>
    </row>
    <row r="10" spans="1:8" x14ac:dyDescent="0.2">
      <c r="A10" s="9" t="s">
        <v>156</v>
      </c>
      <c r="B10" s="29">
        <v>0.2</v>
      </c>
    </row>
    <row r="11" spans="1:8" x14ac:dyDescent="0.2">
      <c r="A11" s="9" t="s">
        <v>157</v>
      </c>
      <c r="B11" s="29">
        <v>0.8</v>
      </c>
    </row>
    <row r="12" spans="1:8" x14ac:dyDescent="0.2">
      <c r="A12" s="1" t="s">
        <v>158</v>
      </c>
      <c r="B12" s="29">
        <f>(B10*B9)+(B11*B6)</f>
        <v>7.4040000000000009E-2</v>
      </c>
      <c r="E12" s="59" t="s">
        <v>159</v>
      </c>
      <c r="F12" s="58"/>
      <c r="G12" s="58"/>
      <c r="H12" s="29">
        <f>Sensitivity!B3</f>
        <v>7.4040000000000009E-2</v>
      </c>
    </row>
    <row r="13" spans="1:8" x14ac:dyDescent="0.2">
      <c r="A13" s="9" t="s">
        <v>160</v>
      </c>
      <c r="B13" s="29">
        <f>Assumptions!B29</f>
        <v>2.5000000000000001E-2</v>
      </c>
      <c r="E13" s="59" t="s">
        <v>161</v>
      </c>
      <c r="F13" s="58"/>
      <c r="G13" s="58"/>
      <c r="H13" s="29">
        <f>Sensitivity!B4</f>
        <v>2.5000000000000001E-2</v>
      </c>
    </row>
    <row r="16" spans="1:8" x14ac:dyDescent="0.2">
      <c r="A16" s="9" t="s">
        <v>162</v>
      </c>
      <c r="B16" s="9" t="s">
        <v>114</v>
      </c>
      <c r="C16" s="9" t="s">
        <v>115</v>
      </c>
      <c r="D16" s="9" t="s">
        <v>116</v>
      </c>
      <c r="E16" s="9" t="s">
        <v>117</v>
      </c>
      <c r="F16" s="9" t="s">
        <v>118</v>
      </c>
    </row>
    <row r="17" spans="1:9" x14ac:dyDescent="0.2">
      <c r="A17" s="9" t="s">
        <v>32</v>
      </c>
      <c r="B17" s="14">
        <f>'Revenue Model'!G38</f>
        <v>279363.52499999997</v>
      </c>
      <c r="C17" s="14">
        <f>'Revenue Model'!H38</f>
        <v>283553.97787499992</v>
      </c>
      <c r="D17" s="14">
        <f>'Revenue Model'!I38</f>
        <v>287807.28754312487</v>
      </c>
      <c r="E17" s="14">
        <f>'Revenue Model'!J38</f>
        <v>292124.39685627172</v>
      </c>
      <c r="F17" s="14">
        <f>'Revenue Model'!K38</f>
        <v>296506.26280911575</v>
      </c>
    </row>
    <row r="18" spans="1:9" x14ac:dyDescent="0.2">
      <c r="A18" s="9" t="s">
        <v>127</v>
      </c>
      <c r="B18" s="15">
        <f>-B17*COGS_Pct</f>
        <v>-248633.53724999996</v>
      </c>
      <c r="C18" s="15">
        <f>-C17*COGS_Pct</f>
        <v>-252363.04030874994</v>
      </c>
      <c r="D18" s="15">
        <f>-D17*COGS_Pct</f>
        <v>-256148.48591338113</v>
      </c>
      <c r="E18" s="15">
        <f>-E17*COGS_Pct</f>
        <v>-259990.71320208182</v>
      </c>
      <c r="F18" s="15">
        <f>-F17*COGS_Pct</f>
        <v>-263890.573900113</v>
      </c>
    </row>
    <row r="19" spans="1:9" x14ac:dyDescent="0.2">
      <c r="A19" s="9" t="s">
        <v>163</v>
      </c>
      <c r="B19" s="15">
        <f>-B17*Opex_Pct</f>
        <v>-23745.899624999998</v>
      </c>
      <c r="C19" s="15">
        <f>-C17*Opex_Pct</f>
        <v>-24102.088119374996</v>
      </c>
      <c r="D19" s="15">
        <f>-D17*Opex_Pct</f>
        <v>-24463.619441165614</v>
      </c>
      <c r="E19" s="15">
        <f>-E17*Opex_Pct</f>
        <v>-24830.573732783098</v>
      </c>
      <c r="F19" s="15">
        <f>-F17*Opex_Pct</f>
        <v>-25203.032338774839</v>
      </c>
    </row>
    <row r="20" spans="1:9" x14ac:dyDescent="0.2">
      <c r="A20" s="9" t="s">
        <v>36</v>
      </c>
      <c r="B20" s="14">
        <f>B17+B18+B19</f>
        <v>6984.088125000002</v>
      </c>
      <c r="C20" s="14">
        <f>C17+C18+C19</f>
        <v>7088.849446874985</v>
      </c>
      <c r="D20" s="14">
        <f>D17+D18+D19</f>
        <v>7195.1821885781283</v>
      </c>
      <c r="E20" s="14">
        <f>E17+E18+E19</f>
        <v>7303.1099214067981</v>
      </c>
      <c r="F20" s="14">
        <f>F17+F18+F19</f>
        <v>7412.6565702279149</v>
      </c>
    </row>
    <row r="21" spans="1:9" x14ac:dyDescent="0.2">
      <c r="A21" s="9" t="s">
        <v>164</v>
      </c>
      <c r="B21" s="15">
        <f>B17*Assumptions!$B$20</f>
        <v>4469.8163999999997</v>
      </c>
      <c r="C21" s="15">
        <f>C17*Assumptions!$B$20</f>
        <v>4536.8636459999989</v>
      </c>
      <c r="D21" s="15">
        <f>D17*Assumptions!$B$20</f>
        <v>4604.9166006899977</v>
      </c>
      <c r="E21" s="15">
        <f>E17*Assumptions!$B$20</f>
        <v>4673.9903497003479</v>
      </c>
      <c r="F21" s="15">
        <f>F17*Assumptions!$B$20</f>
        <v>4744.1002049458521</v>
      </c>
    </row>
    <row r="22" spans="1:9" x14ac:dyDescent="0.2">
      <c r="A22" s="9" t="s">
        <v>135</v>
      </c>
      <c r="B22" s="14">
        <f>B20-B21</f>
        <v>2514.2717250000023</v>
      </c>
      <c r="C22" s="14">
        <f>C20-C21</f>
        <v>2551.9858008749861</v>
      </c>
      <c r="D22" s="14">
        <f>D20-D21</f>
        <v>2590.2655878881305</v>
      </c>
      <c r="E22" s="14">
        <f>E20-E21</f>
        <v>2629.1195717064502</v>
      </c>
      <c r="F22" s="14">
        <f>F20-F21</f>
        <v>2668.5563652820629</v>
      </c>
    </row>
    <row r="23" spans="1:9" x14ac:dyDescent="0.2">
      <c r="A23" s="9" t="s">
        <v>136</v>
      </c>
      <c r="B23" s="15">
        <f>IF(B22&gt;0, B22*$B$8, 0)</f>
        <v>603.42521400000055</v>
      </c>
      <c r="C23" s="15">
        <f t="shared" ref="C23:F23" si="0">IF(C22&gt;0, C22*$B$8, 0)</f>
        <v>612.47659220999662</v>
      </c>
      <c r="D23" s="15">
        <f t="shared" si="0"/>
        <v>621.66374109315132</v>
      </c>
      <c r="E23" s="15">
        <f t="shared" si="0"/>
        <v>630.98869720954804</v>
      </c>
      <c r="F23" s="15">
        <f t="shared" si="0"/>
        <v>640.45352766769508</v>
      </c>
    </row>
    <row r="24" spans="1:9" x14ac:dyDescent="0.2">
      <c r="A24" s="9" t="s">
        <v>165</v>
      </c>
      <c r="B24" s="14">
        <f>B22+B23</f>
        <v>3117.6969390000031</v>
      </c>
      <c r="C24" s="14">
        <f>C22+C23</f>
        <v>3164.462393084983</v>
      </c>
      <c r="D24" s="14">
        <f>D22+D23</f>
        <v>3211.9293289812817</v>
      </c>
      <c r="E24" s="14">
        <f>E22+E23</f>
        <v>3260.1082689159985</v>
      </c>
      <c r="F24" s="14">
        <f>F22+F23</f>
        <v>3309.0098929497581</v>
      </c>
    </row>
    <row r="25" spans="1:9" x14ac:dyDescent="0.2">
      <c r="A25" s="9" t="s">
        <v>140</v>
      </c>
      <c r="B25" s="15">
        <f>-B17*Capex_Pct</f>
        <v>-5028.5434499999992</v>
      </c>
      <c r="C25" s="15">
        <f>-C17*Capex_Pct</f>
        <v>-5103.9716017499986</v>
      </c>
      <c r="D25" s="15">
        <f>-D17*Capex_Pct</f>
        <v>-5180.5311757762474</v>
      </c>
      <c r="E25" s="15">
        <f>-E17*Capex_Pct</f>
        <v>-5258.2391434128904</v>
      </c>
      <c r="F25" s="15">
        <f>-F17*Capex_Pct</f>
        <v>-5337.112730564083</v>
      </c>
    </row>
    <row r="26" spans="1:9" x14ac:dyDescent="0.2">
      <c r="A26" s="9" t="s">
        <v>166</v>
      </c>
      <c r="B26" s="15">
        <f>B17*Assumptions!$B$22</f>
        <v>1396.8176249999999</v>
      </c>
      <c r="C26" s="15">
        <f>C17*Assumptions!$B$22</f>
        <v>1417.7698893749996</v>
      </c>
      <c r="D26" s="15">
        <f>D17*Assumptions!$B$22</f>
        <v>1439.0364377156243</v>
      </c>
      <c r="E26" s="15">
        <f>E17*Assumptions!$B$22</f>
        <v>1460.6219842813587</v>
      </c>
      <c r="F26" s="15">
        <f>F17*Assumptions!$B$22</f>
        <v>1482.5313140455787</v>
      </c>
      <c r="H26" s="9" t="s">
        <v>167</v>
      </c>
      <c r="I26" s="15">
        <f>'Revenue Model'!F38*Assumptions!B22</f>
        <v>1376.175</v>
      </c>
    </row>
    <row r="27" spans="1:9" x14ac:dyDescent="0.2">
      <c r="A27" s="9" t="s">
        <v>168</v>
      </c>
      <c r="B27" s="15">
        <f>B26-$I$26</f>
        <v>20.642624999999953</v>
      </c>
      <c r="C27" s="15">
        <f>C26-B26</f>
        <v>20.952264374999686</v>
      </c>
      <c r="D27" s="15">
        <f>D26-C26</f>
        <v>21.266548340624695</v>
      </c>
      <c r="E27" s="15">
        <f>E26-D26</f>
        <v>21.585546565734376</v>
      </c>
      <c r="F27" s="15">
        <f>F26-E26</f>
        <v>21.909329764220047</v>
      </c>
    </row>
    <row r="28" spans="1:9" x14ac:dyDescent="0.2">
      <c r="A28" s="1" t="s">
        <v>169</v>
      </c>
      <c r="B28" s="14">
        <f>B24+B21+B25-B27</f>
        <v>2538.3272640000037</v>
      </c>
      <c r="C28" s="14">
        <f>C24+C21+C25-C27</f>
        <v>2576.4021729599835</v>
      </c>
      <c r="D28" s="14">
        <f>D24+D21+D25-D27</f>
        <v>2615.0482055544071</v>
      </c>
      <c r="E28" s="14">
        <f>E24+E21+E25-E27</f>
        <v>2654.2739286377218</v>
      </c>
      <c r="F28" s="14">
        <f>F24+F21+F25-F27</f>
        <v>2694.0880375673069</v>
      </c>
    </row>
    <row r="30" spans="1:9" x14ac:dyDescent="0.2">
      <c r="A30" s="9" t="s">
        <v>170</v>
      </c>
      <c r="B30" s="38">
        <f>1/(1+$H$12)^1</f>
        <v>0.93106401996201249</v>
      </c>
      <c r="C30" s="38">
        <f>1/(1+$H$12)^2</f>
        <v>0.86688020926782283</v>
      </c>
      <c r="D30" s="38">
        <f>1/(1+$H$12)^3</f>
        <v>0.80712097246640979</v>
      </c>
      <c r="E30" s="38">
        <f>1/(1+$H$12)^4</f>
        <v>0.75148129722022439</v>
      </c>
      <c r="F30" s="38">
        <f>1/(1+$H$12)^5</f>
        <v>0.69967719751613</v>
      </c>
    </row>
    <row r="31" spans="1:9" x14ac:dyDescent="0.2">
      <c r="A31" s="1" t="s">
        <v>171</v>
      </c>
      <c r="B31" s="39">
        <f>B28*B30</f>
        <v>2363.3451863990199</v>
      </c>
      <c r="C31" s="39">
        <f>C28*C30</f>
        <v>2233.4320548536239</v>
      </c>
      <c r="D31" s="39">
        <f>D28*D30</f>
        <v>2110.6602507136131</v>
      </c>
      <c r="E31" s="39">
        <f>E28*E30</f>
        <v>1994.6372150704965</v>
      </c>
      <c r="F31" s="39">
        <f>F28*F30</f>
        <v>1884.9919679868235</v>
      </c>
    </row>
    <row r="33" spans="1:8" x14ac:dyDescent="0.2">
      <c r="A33" s="9" t="s">
        <v>172</v>
      </c>
      <c r="B33" s="39">
        <f>F28*(1+$H$13)/($H$12-$H$13)</f>
        <v>56309.955923868038</v>
      </c>
    </row>
    <row r="34" spans="1:8" x14ac:dyDescent="0.2">
      <c r="A34" s="9" t="s">
        <v>173</v>
      </c>
      <c r="B34" s="39">
        <f>B33*F30</f>
        <v>39398.792153068789</v>
      </c>
    </row>
    <row r="36" spans="1:8" x14ac:dyDescent="0.2">
      <c r="A36" s="9" t="s">
        <v>174</v>
      </c>
      <c r="B36" s="39">
        <f>SUM(B31:F31)+B34</f>
        <v>49985.858828092365</v>
      </c>
      <c r="H36" s="39"/>
    </row>
    <row r="38" spans="1:8" x14ac:dyDescent="0.2">
      <c r="A38" s="9" t="s">
        <v>175</v>
      </c>
      <c r="B38" s="14">
        <f>'Historical Finances'!F38+'Historical Finances'!F40</f>
        <v>5713</v>
      </c>
      <c r="H38" s="39"/>
    </row>
    <row r="39" spans="1:8" x14ac:dyDescent="0.2">
      <c r="A39" s="9" t="s">
        <v>176</v>
      </c>
      <c r="B39" s="14">
        <f>'Historical Finances'!F21</f>
        <v>14161</v>
      </c>
    </row>
    <row r="40" spans="1:8" ht="34" customHeight="1" x14ac:dyDescent="0.2">
      <c r="A40" s="11" t="s">
        <v>177</v>
      </c>
      <c r="B40" s="14">
        <f>'Historical Finances'!F22</f>
        <v>1123</v>
      </c>
    </row>
    <row r="41" spans="1:8" ht="34" customHeight="1" x14ac:dyDescent="0.2">
      <c r="A41" s="11" t="s">
        <v>178</v>
      </c>
      <c r="B41" s="15">
        <f>B38-B39-B40</f>
        <v>-9571</v>
      </c>
    </row>
    <row r="43" spans="1:8" x14ac:dyDescent="0.2">
      <c r="A43" s="9" t="s">
        <v>179</v>
      </c>
      <c r="B43" s="39">
        <f>B36-B41</f>
        <v>59556.858828092365</v>
      </c>
    </row>
  </sheetData>
  <mergeCells count="4">
    <mergeCell ref="C7:E7"/>
    <mergeCell ref="E12:G12"/>
    <mergeCell ref="C6:E6"/>
    <mergeCell ref="E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>
      <selection activeCell="J20" sqref="J20"/>
    </sheetView>
  </sheetViews>
  <sheetFormatPr baseColWidth="10" defaultRowHeight="16" x14ac:dyDescent="0.2"/>
  <cols>
    <col min="1" max="1" width="18.33203125" style="9" customWidth="1"/>
    <col min="2" max="2" width="11.5" style="9" customWidth="1"/>
    <col min="3" max="8" width="12.1640625" style="9" bestFit="1" customWidth="1"/>
    <col min="9" max="16384" width="10.83203125" style="9"/>
  </cols>
  <sheetData>
    <row r="1" spans="1:9" x14ac:dyDescent="0.2">
      <c r="A1" s="1" t="s">
        <v>180</v>
      </c>
    </row>
    <row r="2" spans="1:9" ht="17" customHeight="1" thickBot="1" x14ac:dyDescent="0.25">
      <c r="A2" s="1" t="s">
        <v>181</v>
      </c>
    </row>
    <row r="3" spans="1:9" x14ac:dyDescent="0.2">
      <c r="A3" s="40" t="s">
        <v>182</v>
      </c>
      <c r="B3" s="41">
        <f>'DCF Valuation'!B12</f>
        <v>7.4040000000000009E-2</v>
      </c>
    </row>
    <row r="4" spans="1:9" ht="35" customHeight="1" thickBot="1" x14ac:dyDescent="0.25">
      <c r="A4" s="42" t="s">
        <v>183</v>
      </c>
      <c r="B4" s="43">
        <f>'DCF Valuation'!B13</f>
        <v>2.5000000000000001E-2</v>
      </c>
      <c r="C4" s="39"/>
    </row>
    <row r="5" spans="1:9" x14ac:dyDescent="0.2">
      <c r="B5" s="39"/>
      <c r="C5" s="44"/>
      <c r="D5" s="44"/>
      <c r="E5" s="44"/>
      <c r="F5" s="44"/>
      <c r="G5" s="44"/>
      <c r="H5" s="44"/>
      <c r="I5" s="44"/>
    </row>
    <row r="6" spans="1:9" x14ac:dyDescent="0.2">
      <c r="A6" s="39">
        <f>'DCF Valuation'!B36</f>
        <v>49985.858828092365</v>
      </c>
      <c r="B6" s="45">
        <v>0.06</v>
      </c>
      <c r="C6" s="45">
        <v>6.5000000000000002E-2</v>
      </c>
      <c r="D6" s="45">
        <v>7.0000000000000007E-2</v>
      </c>
      <c r="E6" s="45">
        <v>7.4999999999999997E-2</v>
      </c>
      <c r="F6" s="45">
        <v>0.08</v>
      </c>
      <c r="G6" s="45">
        <v>8.5000000000000006E-2</v>
      </c>
      <c r="H6" s="45">
        <v>0.09</v>
      </c>
      <c r="I6" s="46"/>
    </row>
    <row r="7" spans="1:9" x14ac:dyDescent="0.2">
      <c r="A7" s="47">
        <v>1.4999999999999999E-2</v>
      </c>
      <c r="B7" s="46">
        <f t="dataTable" ref="B7:H11" dt2D="1" dtr="1" r1="B3" r2="B4" ca="1"/>
        <v>56407.272533333751</v>
      </c>
      <c r="C7" s="46">
        <v>50766.545280000399</v>
      </c>
      <c r="D7" s="46">
        <v>46151.404800000339</v>
      </c>
      <c r="E7" s="46">
        <v>42305.454400000315</v>
      </c>
      <c r="F7" s="46">
        <v>39051.188676923353</v>
      </c>
      <c r="G7" s="46">
        <v>36261.818057143115</v>
      </c>
      <c r="H7" s="46">
        <v>33844.363520000225</v>
      </c>
      <c r="I7" s="46"/>
    </row>
    <row r="8" spans="1:9" ht="17" customHeight="1" thickBot="1" x14ac:dyDescent="0.25">
      <c r="A8" s="47">
        <v>0.02</v>
      </c>
      <c r="B8" s="46">
        <v>62334.967152118261</v>
      </c>
      <c r="C8" s="46">
        <v>55420.271592232792</v>
      </c>
      <c r="D8" s="46">
        <v>49888.326372172363</v>
      </c>
      <c r="E8" s="46">
        <v>45362.021899689091</v>
      </c>
      <c r="F8" s="46">
        <v>41589.951668812821</v>
      </c>
      <c r="G8" s="46">
        <v>38398.064922486505</v>
      </c>
      <c r="H8" s="46">
        <v>35662.039602516263</v>
      </c>
      <c r="I8" s="46"/>
    </row>
    <row r="9" spans="1:9" ht="17" customHeight="1" thickBot="1" x14ac:dyDescent="0.25">
      <c r="A9" s="47">
        <v>2.5000000000000001E-2</v>
      </c>
      <c r="B9" s="46">
        <v>69956.28880484117</v>
      </c>
      <c r="C9" s="46">
        <v>61237.42948252325</v>
      </c>
      <c r="D9" s="48">
        <v>54455.674960382603</v>
      </c>
      <c r="E9" s="46">
        <v>49029.902899315624</v>
      </c>
      <c r="F9" s="46">
        <v>44590.307931954914</v>
      </c>
      <c r="G9" s="46">
        <v>40890.352932053793</v>
      </c>
      <c r="H9" s="46">
        <v>37759.358159265532</v>
      </c>
    </row>
    <row r="10" spans="1:9" x14ac:dyDescent="0.2">
      <c r="A10" s="47">
        <v>0.03</v>
      </c>
      <c r="B10" s="46">
        <v>80118.051008471724</v>
      </c>
      <c r="C10" s="46">
        <v>68716.632484325295</v>
      </c>
      <c r="D10" s="46">
        <v>60164.860695645417</v>
      </c>
      <c r="E10" s="46">
        <v>53512.868565525845</v>
      </c>
      <c r="F10" s="46">
        <v>48190.735447725427</v>
      </c>
      <c r="G10" s="46">
        <v>43835.784216087857</v>
      </c>
      <c r="H10" s="46">
        <v>40206.229808806362</v>
      </c>
    </row>
    <row r="11" spans="1:9" x14ac:dyDescent="0.2">
      <c r="A11" s="47">
        <v>3.5000000000000003E-2</v>
      </c>
      <c r="B11" s="46">
        <v>94344.518093554521</v>
      </c>
      <c r="C11" s="46">
        <v>78688.903153394669</v>
      </c>
      <c r="D11" s="46">
        <v>67505.242355269031</v>
      </c>
      <c r="E11" s="46">
        <v>59116.575648288606</v>
      </c>
      <c r="F11" s="46">
        <v>52591.257967000507</v>
      </c>
      <c r="G11" s="46">
        <v>47370.30175692874</v>
      </c>
      <c r="H11" s="46">
        <v>43097.987212809145</v>
      </c>
    </row>
    <row r="15" spans="1:9" ht="17" thickBot="1" x14ac:dyDescent="0.25"/>
    <row r="16" spans="1:9" ht="34" customHeight="1" thickBot="1" x14ac:dyDescent="0.25">
      <c r="A16" s="49" t="s">
        <v>184</v>
      </c>
      <c r="B16" s="50">
        <v>0.02</v>
      </c>
    </row>
    <row r="18" spans="1:9" ht="17" thickBot="1" x14ac:dyDescent="0.25">
      <c r="A18" s="39">
        <f>'DCF Valuation'!B36</f>
        <v>49985.858828092365</v>
      </c>
      <c r="B18" s="51">
        <v>0.06</v>
      </c>
      <c r="C18" s="51">
        <v>6.5000000000000002E-2</v>
      </c>
      <c r="D18" s="51">
        <v>7.0000000000000007E-2</v>
      </c>
      <c r="E18" s="51">
        <v>7.4999999999999997E-2</v>
      </c>
      <c r="F18" s="51">
        <v>0.08</v>
      </c>
      <c r="G18" s="51">
        <v>8.5000000000000006E-2</v>
      </c>
      <c r="H18" s="51">
        <v>0.09</v>
      </c>
    </row>
    <row r="19" spans="1:9" ht="17" customHeight="1" thickBot="1" x14ac:dyDescent="0.25">
      <c r="A19" s="51">
        <v>0.02</v>
      </c>
      <c r="B19" s="39">
        <f t="dataTable" ref="B19:H23" dt2D="1" dtr="1" r1="B3" r2="B16"/>
        <v>69956.28880484117</v>
      </c>
      <c r="C19" s="39">
        <v>61237.42948252325</v>
      </c>
      <c r="D19" s="52">
        <v>54455.674960382603</v>
      </c>
      <c r="E19" s="39">
        <v>49029.902899315624</v>
      </c>
      <c r="F19" s="39">
        <v>44590.307931954914</v>
      </c>
      <c r="G19" s="39">
        <v>40890.352932053793</v>
      </c>
      <c r="H19" s="39">
        <v>37759.358159265532</v>
      </c>
    </row>
    <row r="20" spans="1:9" x14ac:dyDescent="0.2">
      <c r="A20" s="51">
        <v>0.03</v>
      </c>
      <c r="B20" s="39">
        <v>69956.28880484117</v>
      </c>
      <c r="C20" s="53">
        <v>61237.42948252325</v>
      </c>
      <c r="D20" s="53">
        <v>54455.674960382603</v>
      </c>
      <c r="E20" s="53">
        <v>49029.902899315624</v>
      </c>
      <c r="F20" s="53">
        <v>44590.307931954914</v>
      </c>
      <c r="G20" s="53">
        <v>40890.352932053793</v>
      </c>
      <c r="H20" s="53">
        <v>37759.358159265532</v>
      </c>
      <c r="I20" s="44"/>
    </row>
    <row r="21" spans="1:9" x14ac:dyDescent="0.2">
      <c r="A21" s="51">
        <v>0.04</v>
      </c>
      <c r="B21" s="39">
        <v>69956.28880484117</v>
      </c>
      <c r="C21" s="39">
        <v>61237.42948252325</v>
      </c>
      <c r="D21" s="39">
        <v>54455.674960382603</v>
      </c>
      <c r="E21" s="39">
        <v>49029.902899315624</v>
      </c>
      <c r="F21" s="39">
        <v>44590.307931954914</v>
      </c>
      <c r="G21" s="39">
        <v>40890.352932053793</v>
      </c>
      <c r="H21" s="39">
        <v>37759.358159265532</v>
      </c>
      <c r="I21" s="46"/>
    </row>
    <row r="22" spans="1:9" x14ac:dyDescent="0.2">
      <c r="A22" s="51">
        <v>0.05</v>
      </c>
      <c r="B22" s="39">
        <v>69956.28880484117</v>
      </c>
      <c r="C22" s="39">
        <v>61237.42948252325</v>
      </c>
      <c r="D22" s="39">
        <v>54455.674960382603</v>
      </c>
      <c r="E22" s="39">
        <v>49029.902899315624</v>
      </c>
      <c r="F22" s="39">
        <v>44590.307931954914</v>
      </c>
      <c r="G22" s="39">
        <v>40890.352932053793</v>
      </c>
      <c r="H22" s="39">
        <v>37759.358159265532</v>
      </c>
      <c r="I22" s="46"/>
    </row>
    <row r="23" spans="1:9" x14ac:dyDescent="0.2">
      <c r="A23" s="51">
        <v>0.06</v>
      </c>
      <c r="B23" s="39">
        <v>69956.28880484117</v>
      </c>
      <c r="C23" s="39">
        <v>61237.42948252325</v>
      </c>
      <c r="D23" s="39">
        <v>54455.674960382603</v>
      </c>
      <c r="E23" s="39">
        <v>49029.902899315624</v>
      </c>
      <c r="F23" s="39">
        <v>44590.307931954914</v>
      </c>
      <c r="G23" s="39">
        <v>40890.352932053793</v>
      </c>
      <c r="H23" s="39">
        <v>37759.358159265532</v>
      </c>
      <c r="I23" s="46"/>
    </row>
    <row r="24" spans="1:9" x14ac:dyDescent="0.2">
      <c r="B24" s="29"/>
      <c r="C24" s="46"/>
      <c r="D24" s="46"/>
      <c r="E24" s="46"/>
      <c r="F24" s="46"/>
      <c r="G24" s="46"/>
      <c r="H24" s="46"/>
      <c r="I24" s="46"/>
    </row>
    <row r="25" spans="1:9" x14ac:dyDescent="0.2">
      <c r="B25" s="29"/>
      <c r="C25" s="46"/>
      <c r="D25" s="46"/>
      <c r="E25" s="46"/>
      <c r="F25" s="46"/>
      <c r="G25" s="46"/>
      <c r="H25" s="46"/>
      <c r="I25" s="46"/>
    </row>
  </sheetData>
  <conditionalFormatting sqref="B7:H11">
    <cfRule type="colorScale" priority="3">
      <colorScale>
        <cfvo type="min"/>
        <cfvo type="max"/>
        <color rgb="FFFC6263"/>
        <color theme="9" tint="0.59999389629810485"/>
      </colorScale>
    </cfRule>
  </conditionalFormatting>
  <conditionalFormatting sqref="B19:H22">
    <cfRule type="colorScale" priority="5">
      <colorScale>
        <cfvo type="min"/>
        <cfvo type="max"/>
        <color rgb="FFFC6263"/>
        <color theme="9" tint="0.59999389629810485"/>
      </colorScale>
    </cfRule>
  </conditionalFormatting>
  <conditionalFormatting sqref="B19:H23">
    <cfRule type="colorScale" priority="1">
      <colorScale>
        <cfvo type="min"/>
        <cfvo type="max"/>
        <color rgb="FFFE7F84"/>
        <color theme="9" tint="0.59999389629810485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50"/>
  <sheetViews>
    <sheetView topLeftCell="A2" zoomScale="64" zoomScaleNormal="50" workbookViewId="0">
      <selection activeCell="E4" sqref="E4"/>
    </sheetView>
  </sheetViews>
  <sheetFormatPr baseColWidth="10" defaultRowHeight="16" x14ac:dyDescent="0.2"/>
  <cols>
    <col min="1" max="1" width="18.83203125" style="9" customWidth="1"/>
    <col min="2" max="6" width="10.83203125" style="9"/>
    <col min="7" max="7" width="13.83203125" style="9" customWidth="1"/>
    <col min="8" max="8" width="11" style="9" customWidth="1"/>
    <col min="9" max="9" width="10.83203125" style="9" customWidth="1"/>
    <col min="10" max="16384" width="10.83203125" style="9"/>
  </cols>
  <sheetData>
    <row r="2" spans="1:18" ht="20" x14ac:dyDescent="0.2">
      <c r="A2" s="60" t="s">
        <v>185</v>
      </c>
      <c r="B2" s="60"/>
      <c r="G2" s="1" t="s">
        <v>189</v>
      </c>
    </row>
    <row r="4" spans="1:18" x14ac:dyDescent="0.2">
      <c r="A4" s="9" t="s">
        <v>174</v>
      </c>
      <c r="B4" s="39">
        <f>'DCF Valuation'!B36</f>
        <v>49985.858828092365</v>
      </c>
      <c r="D4" s="9" t="s">
        <v>5</v>
      </c>
      <c r="E4" s="9" t="s">
        <v>122</v>
      </c>
      <c r="G4" s="9" t="s">
        <v>5</v>
      </c>
      <c r="H4" s="9" t="str">
        <f>E4</f>
        <v>Bear</v>
      </c>
    </row>
    <row r="5" spans="1:18" x14ac:dyDescent="0.2">
      <c r="A5" s="9" t="s">
        <v>179</v>
      </c>
      <c r="B5" s="39">
        <f>'DCF Valuation'!B43</f>
        <v>59556.858828092365</v>
      </c>
      <c r="G5" s="9" t="s">
        <v>158</v>
      </c>
      <c r="H5" s="29">
        <f>'DCF Valuation'!B12</f>
        <v>7.4040000000000009E-2</v>
      </c>
    </row>
    <row r="6" spans="1:18" ht="34" customHeight="1" x14ac:dyDescent="0.2">
      <c r="A6" s="11" t="s">
        <v>186</v>
      </c>
      <c r="G6" s="11" t="s">
        <v>190</v>
      </c>
      <c r="H6" s="29">
        <f>'DCF Valuation'!B13</f>
        <v>2.5000000000000001E-2</v>
      </c>
    </row>
    <row r="7" spans="1:18" ht="51" customHeight="1" x14ac:dyDescent="0.2">
      <c r="G7" s="54" t="s">
        <v>191</v>
      </c>
      <c r="H7" s="35">
        <f>'Revenue Model'!B42</f>
        <v>5.5749999999999973E-2</v>
      </c>
      <c r="I7" s="35"/>
      <c r="J7" s="35"/>
      <c r="K7" s="35"/>
      <c r="L7" s="35"/>
      <c r="M7" s="35"/>
      <c r="N7" s="35"/>
    </row>
    <row r="8" spans="1:18" ht="53" customHeight="1" x14ac:dyDescent="0.2">
      <c r="G8" s="55" t="s">
        <v>192</v>
      </c>
      <c r="H8" s="56">
        <f>'Cost Margin'!K10</f>
        <v>2.5000000000000071E-2</v>
      </c>
      <c r="I8" s="46"/>
      <c r="J8" s="46"/>
      <c r="K8" s="46"/>
      <c r="L8" s="46"/>
      <c r="M8" s="46"/>
      <c r="N8" s="46"/>
    </row>
    <row r="9" spans="1:18" x14ac:dyDescent="0.2">
      <c r="G9" s="29"/>
      <c r="H9" s="46"/>
      <c r="I9" s="46"/>
      <c r="J9" s="46"/>
      <c r="K9" s="46"/>
      <c r="L9" s="46"/>
      <c r="M9" s="46"/>
      <c r="N9" s="46"/>
      <c r="O9" s="35"/>
      <c r="P9" s="35"/>
      <c r="Q9" s="35"/>
      <c r="R9" s="35"/>
    </row>
    <row r="10" spans="1:18" x14ac:dyDescent="0.2">
      <c r="G10" s="29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spans="1:18" x14ac:dyDescent="0.2">
      <c r="E11" s="39"/>
      <c r="F11" s="45"/>
      <c r="G11" s="45"/>
      <c r="H11" s="45"/>
      <c r="I11" s="45"/>
      <c r="J11" s="45"/>
      <c r="K11" s="45"/>
      <c r="L11" s="45"/>
      <c r="M11" s="46"/>
      <c r="N11" s="46"/>
      <c r="O11" s="46"/>
      <c r="P11" s="46"/>
      <c r="Q11" s="46"/>
      <c r="R11" s="46"/>
    </row>
    <row r="12" spans="1:18" x14ac:dyDescent="0.2">
      <c r="E12" s="47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</row>
    <row r="13" spans="1:18" x14ac:dyDescent="0.2">
      <c r="E13" s="47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</row>
    <row r="14" spans="1:18" x14ac:dyDescent="0.2">
      <c r="E14" s="47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</row>
    <row r="15" spans="1:18" x14ac:dyDescent="0.2">
      <c r="E15" s="47"/>
      <c r="F15" s="46"/>
      <c r="G15" s="46"/>
      <c r="H15" s="46"/>
      <c r="I15" s="46"/>
      <c r="J15" s="46"/>
      <c r="K15" s="46"/>
      <c r="L15" s="46"/>
    </row>
    <row r="16" spans="1:18" x14ac:dyDescent="0.2">
      <c r="E16" s="47"/>
      <c r="F16" s="46"/>
      <c r="G16" s="46"/>
      <c r="H16" s="46"/>
      <c r="I16" s="46"/>
      <c r="J16" s="46"/>
      <c r="K16" s="46"/>
      <c r="L16" s="46"/>
    </row>
    <row r="17" spans="5:12" x14ac:dyDescent="0.2">
      <c r="E17" s="29"/>
      <c r="F17" s="46"/>
      <c r="G17" s="46"/>
      <c r="H17" s="46"/>
      <c r="I17" s="46"/>
      <c r="J17" s="46"/>
      <c r="K17" s="46"/>
      <c r="L17" s="46"/>
    </row>
    <row r="18" spans="5:12" x14ac:dyDescent="0.2">
      <c r="I18" s="29"/>
      <c r="J18" s="46"/>
      <c r="K18" s="46"/>
      <c r="L18" s="46"/>
    </row>
    <row r="45" spans="1:8" x14ac:dyDescent="0.2">
      <c r="A45" s="39">
        <v>5780.2459645568342</v>
      </c>
      <c r="B45" s="45">
        <v>0.06</v>
      </c>
      <c r="C45" s="45">
        <v>6.5000000000000002E-2</v>
      </c>
      <c r="D45" s="45">
        <v>7.0000000000000007E-2</v>
      </c>
      <c r="E45" s="45">
        <v>7.4999999999999997E-2</v>
      </c>
      <c r="F45" s="45">
        <v>0.08</v>
      </c>
      <c r="G45" s="45">
        <v>8.5000000000000006E-2</v>
      </c>
      <c r="H45" s="45">
        <v>0.09</v>
      </c>
    </row>
    <row r="46" spans="1:8" x14ac:dyDescent="0.2">
      <c r="A46" s="47">
        <v>1.4999999999999999E-2</v>
      </c>
      <c r="B46" s="46">
        <v>5940.0069826638801</v>
      </c>
      <c r="C46" s="46">
        <v>5342.8387108573406</v>
      </c>
      <c r="D46" s="46">
        <v>4854.2996140604209</v>
      </c>
      <c r="E46" s="46">
        <v>4447.2312219492105</v>
      </c>
      <c r="F46" s="46">
        <v>4102.8315484859213</v>
      </c>
      <c r="G46" s="46">
        <v>3807.6706322310274</v>
      </c>
      <c r="H46" s="46">
        <v>3551.8998605674396</v>
      </c>
    </row>
    <row r="47" spans="1:8" ht="17" thickBot="1" x14ac:dyDescent="0.25">
      <c r="A47" s="47">
        <v>0.02</v>
      </c>
      <c r="B47" s="46">
        <v>6567.8925869980631</v>
      </c>
      <c r="C47" s="46">
        <v>5835.7803932277948</v>
      </c>
      <c r="D47" s="46">
        <v>5250.1295969777602</v>
      </c>
      <c r="E47" s="46">
        <v>4770.9953250540784</v>
      </c>
      <c r="F47" s="46">
        <v>4371.7476850177063</v>
      </c>
      <c r="G47" s="46">
        <v>4033.950618012107</v>
      </c>
      <c r="H47" s="46">
        <v>3744.4355289768228</v>
      </c>
    </row>
    <row r="48" spans="1:8" ht="17" thickBot="1" x14ac:dyDescent="0.25">
      <c r="A48" s="47">
        <v>2.5000000000000001E-2</v>
      </c>
      <c r="B48" s="46">
        <v>7375.1740782848665</v>
      </c>
      <c r="C48" s="46">
        <v>6451.9574961908602</v>
      </c>
      <c r="D48" s="48">
        <v>5733.9217983211738</v>
      </c>
      <c r="E48" s="46">
        <v>5159.5122487799172</v>
      </c>
      <c r="F48" s="46">
        <v>4689.5576645552674</v>
      </c>
      <c r="G48" s="46">
        <v>4297.9439347566995</v>
      </c>
      <c r="H48" s="46">
        <v>3966.5920694491851</v>
      </c>
    </row>
    <row r="49" spans="1:8" x14ac:dyDescent="0.2">
      <c r="A49" s="47">
        <v>0.03</v>
      </c>
      <c r="B49" s="46">
        <v>8451.5494000006056</v>
      </c>
      <c r="C49" s="46">
        <v>7244.1852000005165</v>
      </c>
      <c r="D49" s="46">
        <v>6338.6620500004419</v>
      </c>
      <c r="E49" s="46">
        <v>5634.3662666670562</v>
      </c>
      <c r="F49" s="46">
        <v>5070.9296400003432</v>
      </c>
      <c r="G49" s="46">
        <v>4609.9360363639453</v>
      </c>
      <c r="H49" s="46">
        <v>4225.7747000002773</v>
      </c>
    </row>
    <row r="50" spans="1:8" x14ac:dyDescent="0.2">
      <c r="A50" s="47">
        <v>3.5000000000000003E-2</v>
      </c>
      <c r="B50" s="46">
        <v>9958.4748504026429</v>
      </c>
      <c r="C50" s="46">
        <v>8300.4888050800582</v>
      </c>
      <c r="D50" s="46">
        <v>7116.1852307309282</v>
      </c>
      <c r="E50" s="46">
        <v>6227.9337890259785</v>
      </c>
      <c r="F50" s="46">
        <v>5537.0509433221014</v>
      </c>
      <c r="G50" s="46">
        <v>4984.3265582926388</v>
      </c>
      <c r="H50" s="46">
        <v>4532.0814451970218</v>
      </c>
    </row>
  </sheetData>
  <mergeCells count="1">
    <mergeCell ref="A2:B2"/>
  </mergeCells>
  <conditionalFormatting sqref="B46:H50">
    <cfRule type="colorScale" priority="1">
      <colorScale>
        <cfvo type="min"/>
        <cfvo type="max"/>
        <color rgb="FFFC6263"/>
        <color theme="9" tint="0.59999389629810485"/>
      </colorScale>
    </cfRule>
  </conditionalFormatting>
  <conditionalFormatting sqref="F12:L16">
    <cfRule type="colorScale" priority="2">
      <colorScale>
        <cfvo type="min"/>
        <cfvo type="max"/>
        <color rgb="FFFC6263"/>
        <color theme="9" tint="0.59999389629810485"/>
      </colorScale>
    </cfRule>
  </conditionalFormatting>
  <conditionalFormatting sqref="L10:R10 H9:N10 J17:L18 F17:L17 M11:R14 I8:N8">
    <cfRule type="colorScale" priority="3">
      <colorScale>
        <cfvo type="min"/>
        <cfvo type="max"/>
        <color rgb="FFFE7F84"/>
        <color theme="9" tint="0.59999389629810485"/>
      </colorScale>
    </cfRule>
  </conditionalFormatting>
  <dataValidations count="1">
    <dataValidation type="list" allowBlank="1" showInputMessage="1" showErrorMessage="1" sqref="E4" xr:uid="{FFE291CE-F90F-9E42-8256-F1521BBA2EB5}">
      <formula1>"Base, Bull, Bear"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zoomScaleNormal="100" workbookViewId="0">
      <selection activeCell="D9" sqref="D9"/>
    </sheetView>
  </sheetViews>
  <sheetFormatPr baseColWidth="10" defaultRowHeight="16" x14ac:dyDescent="0.2"/>
  <cols>
    <col min="1" max="1" width="10.83203125" style="9"/>
    <col min="2" max="2" width="13.83203125" style="9" customWidth="1"/>
    <col min="3" max="5" width="10.83203125" style="9"/>
    <col min="6" max="6" width="17.33203125" style="9" customWidth="1"/>
    <col min="7" max="7" width="12.83203125" style="9" customWidth="1"/>
    <col min="8" max="16384" width="10.83203125" style="9"/>
  </cols>
  <sheetData>
    <row r="1" spans="1:6" ht="35" customHeight="1" x14ac:dyDescent="0.2">
      <c r="A1" s="9" t="s">
        <v>104</v>
      </c>
      <c r="B1" s="9" t="s">
        <v>5</v>
      </c>
      <c r="C1" s="9" t="s">
        <v>32</v>
      </c>
      <c r="D1" s="9" t="s">
        <v>36</v>
      </c>
      <c r="E1" s="9" t="s">
        <v>169</v>
      </c>
      <c r="F1" s="11" t="s">
        <v>196</v>
      </c>
    </row>
    <row r="2" spans="1:6" x14ac:dyDescent="0.2">
      <c r="A2" s="9" t="s">
        <v>114</v>
      </c>
      <c r="B2" s="9" t="str">
        <f>'Executive Dashboard'!$E$4</f>
        <v>Bear</v>
      </c>
      <c r="C2" s="14">
        <f>'Revenue Model'!G38</f>
        <v>279363.52499999997</v>
      </c>
      <c r="D2" s="14">
        <f>'3-Statement Model'!G10</f>
        <v>6984.088125000002</v>
      </c>
      <c r="E2" s="14">
        <f>'DCF Valuation'!B28</f>
        <v>2538.3272640000037</v>
      </c>
      <c r="F2" s="39">
        <f>'DCF Valuation'!$B$36</f>
        <v>49985.858828092365</v>
      </c>
    </row>
    <row r="3" spans="1:6" x14ac:dyDescent="0.2">
      <c r="A3" s="9" t="s">
        <v>115</v>
      </c>
      <c r="B3" s="9" t="str">
        <f>'Executive Dashboard'!$E$4</f>
        <v>Bear</v>
      </c>
      <c r="C3" s="14">
        <f>'Revenue Model'!H38</f>
        <v>283553.97787499992</v>
      </c>
      <c r="D3" s="14">
        <f>'3-Statement Model'!H10</f>
        <v>7088.849446874985</v>
      </c>
      <c r="E3" s="14">
        <f>'DCF Valuation'!C28</f>
        <v>2576.4021729599835</v>
      </c>
      <c r="F3" s="39">
        <f>'DCF Valuation'!$B$36</f>
        <v>49985.858828092365</v>
      </c>
    </row>
    <row r="4" spans="1:6" x14ac:dyDescent="0.2">
      <c r="A4" s="9" t="s">
        <v>116</v>
      </c>
      <c r="B4" s="9" t="str">
        <f>'Executive Dashboard'!$E$4</f>
        <v>Bear</v>
      </c>
      <c r="C4" s="14">
        <f>'Revenue Model'!I38</f>
        <v>287807.28754312487</v>
      </c>
      <c r="D4" s="14">
        <f>'3-Statement Model'!I10</f>
        <v>7195.1821885781283</v>
      </c>
      <c r="E4" s="14">
        <f>'DCF Valuation'!D28</f>
        <v>2615.0482055544071</v>
      </c>
      <c r="F4" s="39">
        <f>'DCF Valuation'!$B$36</f>
        <v>49985.858828092365</v>
      </c>
    </row>
    <row r="5" spans="1:6" x14ac:dyDescent="0.2">
      <c r="A5" s="9" t="s">
        <v>117</v>
      </c>
      <c r="B5" s="9" t="str">
        <f>'Executive Dashboard'!$E$4</f>
        <v>Bear</v>
      </c>
      <c r="C5" s="14">
        <f>'Revenue Model'!J38</f>
        <v>292124.39685627172</v>
      </c>
      <c r="D5" s="14">
        <f>'3-Statement Model'!J10</f>
        <v>7303.1099214067981</v>
      </c>
      <c r="E5" s="14">
        <f>'DCF Valuation'!E28</f>
        <v>2654.2739286377218</v>
      </c>
      <c r="F5" s="39">
        <f>'DCF Valuation'!$B$36</f>
        <v>49985.858828092365</v>
      </c>
    </row>
    <row r="6" spans="1:6" x14ac:dyDescent="0.2">
      <c r="A6" s="9" t="s">
        <v>118</v>
      </c>
      <c r="B6" s="9" t="str">
        <f>'Executive Dashboard'!$E$4</f>
        <v>Bear</v>
      </c>
      <c r="C6" s="14">
        <f>'Revenue Model'!K38</f>
        <v>296506.26280911575</v>
      </c>
      <c r="D6" s="14">
        <f>'3-Statement Model'!K10</f>
        <v>7412.6565702279149</v>
      </c>
      <c r="E6" s="14">
        <f>'DCF Valuation'!F28</f>
        <v>2694.0880375673069</v>
      </c>
      <c r="F6" s="39">
        <f>'DCF Valuation'!$B$36</f>
        <v>49985.858828092365</v>
      </c>
    </row>
    <row r="11" spans="1:6" x14ac:dyDescent="0.2">
      <c r="A11" s="9" t="s">
        <v>114</v>
      </c>
      <c r="B11" s="9" t="s">
        <v>193</v>
      </c>
      <c r="C11" s="14">
        <v>283492.05</v>
      </c>
      <c r="D11" s="14">
        <v>5669.841000000004</v>
      </c>
      <c r="E11" s="14">
        <v>253.54648200000338</v>
      </c>
      <c r="F11" s="39">
        <v>5780.2459645568342</v>
      </c>
    </row>
    <row r="12" spans="1:6" x14ac:dyDescent="0.2">
      <c r="A12" s="9" t="s">
        <v>115</v>
      </c>
      <c r="B12" s="9" t="s">
        <v>193</v>
      </c>
      <c r="C12" s="14">
        <v>291996.81150000001</v>
      </c>
      <c r="D12" s="14">
        <v>5839.9362300000103</v>
      </c>
      <c r="E12" s="14">
        <v>261.15287646000752</v>
      </c>
      <c r="F12" s="39">
        <v>5780.2459645568342</v>
      </c>
    </row>
    <row r="13" spans="1:6" x14ac:dyDescent="0.2">
      <c r="A13" s="9" t="s">
        <v>116</v>
      </c>
      <c r="B13" s="9" t="s">
        <v>193</v>
      </c>
      <c r="C13" s="14">
        <v>300756.715845</v>
      </c>
      <c r="D13" s="14">
        <v>6015.134316899992</v>
      </c>
      <c r="E13" s="14">
        <v>268.98746275379381</v>
      </c>
      <c r="F13" s="39">
        <v>5780.2459645568342</v>
      </c>
    </row>
    <row r="14" spans="1:6" x14ac:dyDescent="0.2">
      <c r="A14" s="9" t="s">
        <v>117</v>
      </c>
      <c r="B14" s="9" t="s">
        <v>193</v>
      </c>
      <c r="C14" s="14">
        <v>309779.41732035001</v>
      </c>
      <c r="D14" s="14">
        <v>6195.5883464070139</v>
      </c>
      <c r="E14" s="14">
        <v>277.05708663642508</v>
      </c>
      <c r="F14" s="39">
        <v>5780.2459645568342</v>
      </c>
    </row>
    <row r="15" spans="1:6" x14ac:dyDescent="0.2">
      <c r="A15" s="9" t="s">
        <v>118</v>
      </c>
      <c r="B15" s="9" t="s">
        <v>193</v>
      </c>
      <c r="C15" s="14">
        <v>319072.79983996053</v>
      </c>
      <c r="D15" s="14">
        <v>6381.4559967992391</v>
      </c>
      <c r="E15" s="14">
        <v>285.36879923552897</v>
      </c>
      <c r="F15" s="39">
        <v>5780.2459645568342</v>
      </c>
    </row>
    <row r="21" spans="1:6" x14ac:dyDescent="0.2">
      <c r="A21" s="9" t="s">
        <v>114</v>
      </c>
      <c r="B21" s="9" t="s">
        <v>194</v>
      </c>
      <c r="C21" s="14">
        <v>287620.57499999995</v>
      </c>
      <c r="D21" s="14">
        <v>5752.411500000002</v>
      </c>
      <c r="E21" s="14">
        <v>237.197523000003</v>
      </c>
      <c r="F21" s="39">
        <v>5697.4518542843707</v>
      </c>
    </row>
    <row r="22" spans="1:6" x14ac:dyDescent="0.2">
      <c r="A22" s="9" t="s">
        <v>115</v>
      </c>
      <c r="B22" s="9" t="s">
        <v>194</v>
      </c>
      <c r="C22" s="14">
        <v>300563.50087499991</v>
      </c>
      <c r="D22" s="14">
        <v>6011.2700174999991</v>
      </c>
      <c r="E22" s="14">
        <v>247.87141153500079</v>
      </c>
      <c r="F22" s="39">
        <v>5697.4518542843707</v>
      </c>
    </row>
    <row r="23" spans="1:6" x14ac:dyDescent="0.2">
      <c r="A23" s="9" t="s">
        <v>116</v>
      </c>
      <c r="B23" s="9" t="s">
        <v>194</v>
      </c>
      <c r="C23" s="14">
        <v>314088.85841437487</v>
      </c>
      <c r="D23" s="14">
        <v>6281.7771682874809</v>
      </c>
      <c r="E23" s="14">
        <v>259.02562505406263</v>
      </c>
      <c r="F23" s="39">
        <v>5697.4518542843707</v>
      </c>
    </row>
    <row r="24" spans="1:6" x14ac:dyDescent="0.2">
      <c r="A24" s="9" t="s">
        <v>117</v>
      </c>
      <c r="B24" s="9" t="s">
        <v>194</v>
      </c>
      <c r="C24" s="14">
        <v>328222.85704302171</v>
      </c>
      <c r="D24" s="14">
        <v>6564.4571408604534</v>
      </c>
      <c r="E24" s="14">
        <v>270.68177818152321</v>
      </c>
      <c r="F24" s="39">
        <v>5697.4518542843707</v>
      </c>
    </row>
    <row r="25" spans="1:6" x14ac:dyDescent="0.2">
      <c r="A25" s="9" t="s">
        <v>118</v>
      </c>
      <c r="B25" s="9" t="s">
        <v>194</v>
      </c>
      <c r="C25" s="14">
        <v>342992.88560995768</v>
      </c>
      <c r="D25" s="14">
        <v>6859.8577121991766</v>
      </c>
      <c r="E25" s="14">
        <v>282.86245819969463</v>
      </c>
      <c r="F25" s="39">
        <v>5697.4518542843707</v>
      </c>
    </row>
    <row r="31" spans="1:6" x14ac:dyDescent="0.2">
      <c r="A31" s="9" t="s">
        <v>114</v>
      </c>
      <c r="B31" s="9" t="s">
        <v>195</v>
      </c>
      <c r="C31" s="14">
        <v>279363.52499999997</v>
      </c>
      <c r="D31" s="14">
        <v>5587.2705000000024</v>
      </c>
      <c r="E31" s="14">
        <v>269.89544100000285</v>
      </c>
      <c r="F31" s="39">
        <v>5836.690332404205</v>
      </c>
    </row>
    <row r="32" spans="1:6" x14ac:dyDescent="0.2">
      <c r="A32" s="9" t="s">
        <v>115</v>
      </c>
      <c r="B32" s="9" t="s">
        <v>195</v>
      </c>
      <c r="C32" s="14">
        <v>283553.97787499992</v>
      </c>
      <c r="D32" s="14">
        <v>5671.079557500012</v>
      </c>
      <c r="E32" s="14">
        <v>273.94387261501106</v>
      </c>
      <c r="F32" s="39">
        <v>5836.690332404205</v>
      </c>
    </row>
    <row r="33" spans="1:6" x14ac:dyDescent="0.2">
      <c r="A33" s="9" t="s">
        <v>116</v>
      </c>
      <c r="B33" s="9" t="s">
        <v>195</v>
      </c>
      <c r="C33" s="14">
        <v>287807.28754312487</v>
      </c>
      <c r="D33" s="14">
        <v>5756.1457508624917</v>
      </c>
      <c r="E33" s="14">
        <v>278.05303070422065</v>
      </c>
      <c r="F33" s="39">
        <v>5836.690332404205</v>
      </c>
    </row>
    <row r="34" spans="1:6" x14ac:dyDescent="0.2">
      <c r="A34" s="9" t="s">
        <v>117</v>
      </c>
      <c r="B34" s="9" t="s">
        <v>195</v>
      </c>
      <c r="C34" s="14">
        <v>292124.39685627172</v>
      </c>
      <c r="D34" s="14">
        <v>5842.4879371254319</v>
      </c>
      <c r="E34" s="14">
        <v>282.22382616478694</v>
      </c>
      <c r="F34" s="39">
        <v>5836.690332404205</v>
      </c>
    </row>
    <row r="35" spans="1:6" x14ac:dyDescent="0.2">
      <c r="A35" s="9" t="s">
        <v>118</v>
      </c>
      <c r="B35" s="9" t="s">
        <v>195</v>
      </c>
      <c r="C35" s="14">
        <v>296506.26280911575</v>
      </c>
      <c r="D35" s="14">
        <v>5930.1252561823021</v>
      </c>
      <c r="E35" s="14">
        <v>286.4571835572508</v>
      </c>
      <c r="F35" s="39">
        <v>5836.690332404205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Cover</vt:lpstr>
      <vt:lpstr>Assumptions</vt:lpstr>
      <vt:lpstr>Historical Finances</vt:lpstr>
      <vt:lpstr>Revenue Model</vt:lpstr>
      <vt:lpstr>Drivers &amp; Cost Structure</vt:lpstr>
      <vt:lpstr>Cost Margin</vt:lpstr>
      <vt:lpstr>3-Statement Model</vt:lpstr>
      <vt:lpstr>DCF Valuation</vt:lpstr>
      <vt:lpstr>Sensitivity</vt:lpstr>
      <vt:lpstr>Executive Dashboard</vt:lpstr>
      <vt:lpstr>Tableau Export</vt:lpstr>
      <vt:lpstr>Capex_Pct</vt:lpstr>
      <vt:lpstr>COGS_Pct</vt:lpstr>
      <vt:lpstr>Opex_Pct</vt:lpstr>
      <vt:lpstr>Rev_Growth_Base</vt:lpstr>
      <vt:lpstr>Rev_Growth_Bear</vt:lpstr>
      <vt:lpstr>Rev_Growth_Bull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Zheng</dc:creator>
  <cp:lastModifiedBy>May Zheng</cp:lastModifiedBy>
  <dcterms:created xsi:type="dcterms:W3CDTF">2026-01-25T20:45:25Z</dcterms:created>
  <dcterms:modified xsi:type="dcterms:W3CDTF">2026-02-26T19:03:49Z</dcterms:modified>
</cp:coreProperties>
</file>