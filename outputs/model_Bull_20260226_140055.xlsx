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00" yWindow="760" windowWidth="17200" windowHeight="16900" tabRatio="600" firstSheet="0" activeTab="3" autoFilterDateGrouping="1"/>
  </bookViews>
  <sheets>
    <sheet name="Cover" sheetId="1" state="visible" r:id="rId1"/>
    <sheet name="Assumptions" sheetId="2" state="visible" r:id="rId2"/>
    <sheet name="Historical Finances" sheetId="3" state="visible" r:id="rId3"/>
    <sheet name="Revenue Model" sheetId="4" state="visible" r:id="rId4"/>
    <sheet name="Drivers &amp; Cost Structure" sheetId="5" state="visible" r:id="rId5"/>
    <sheet name="Cost Margin" sheetId="6" state="visible" r:id="rId6"/>
    <sheet name="3-Statement Model" sheetId="7" state="visible" r:id="rId7"/>
    <sheet name="DCF Valuation" sheetId="8" state="visible" r:id="rId8"/>
    <sheet name="Sensitivity" sheetId="9" state="visible" r:id="rId9"/>
    <sheet name="Executive Dashboard" sheetId="10" state="visible" r:id="rId10"/>
    <sheet name="Tableau Export" sheetId="11" state="visible" r:id="rId11"/>
  </sheets>
  <definedNames>
    <definedName name="Capex_Pct">Assumptions!$B$21</definedName>
    <definedName name="COGS_Pct">Assumptions!$B$14</definedName>
    <definedName name="Opex_Pct">Assumptions!$B$15</definedName>
    <definedName name="Rev_Growth_Base">Assumptions!$B$6</definedName>
    <definedName name="Rev_Growth_Bear">Assumptions!$B$8</definedName>
    <definedName name="Rev_Growth_Bull">Assumptions!$B$7</definedName>
    <definedName name="Tax_Rate">Assumptions!$B$19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0.0000"/>
  </numFmts>
  <fonts count="7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6"/>
    </font>
    <font>
      <name val="Aptos Narrow"/>
      <family val="2"/>
      <color theme="1"/>
      <sz val="12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2"/>
    </font>
    <font>
      <name val="Arial"/>
      <family val="2"/>
      <color rgb="FF0070C0"/>
      <sz val="12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3" fillId="0" borderId="0"/>
    <xf numFmtId="9" fontId="3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0" applyAlignment="1" pivotButton="0" quotePrefix="0" xfId="0">
      <alignment wrapText="1"/>
    </xf>
    <xf numFmtId="0" fontId="4" fillId="0" borderId="7" pivotButton="0" quotePrefix="0" xfId="0"/>
    <xf numFmtId="0" fontId="2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5" fillId="0" borderId="0" applyAlignment="1" pivotButton="0" quotePrefix="0" xfId="0">
      <alignment wrapText="1"/>
    </xf>
    <xf numFmtId="0" fontId="4" fillId="0" borderId="9" pivotButton="0" quotePrefix="0" xfId="0"/>
    <xf numFmtId="0" fontId="5" fillId="0" borderId="9" pivotButton="0" quotePrefix="0" xfId="0"/>
    <xf numFmtId="3" fontId="5" fillId="0" borderId="0" pivotButton="0" quotePrefix="0" xfId="0"/>
    <xf numFmtId="37" fontId="5" fillId="0" borderId="0" pivotButton="0" quotePrefix="0" xfId="0"/>
    <xf numFmtId="0" fontId="1" fillId="0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0" fontId="5" fillId="0" borderId="4" pivotButton="0" quotePrefix="0" xfId="0"/>
    <xf numFmtId="0" fontId="5" fillId="0" borderId="5" pivotButton="0" quotePrefix="0" xfId="0"/>
    <xf numFmtId="0" fontId="1" fillId="0" borderId="4" pivotButton="0" quotePrefix="0" xfId="0"/>
    <xf numFmtId="0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0" fontId="5" fillId="0" borderId="6" pivotButton="0" quotePrefix="0" xfId="0"/>
    <xf numFmtId="164" fontId="6" fillId="0" borderId="7" pivotButton="0" quotePrefix="0" xfId="0"/>
    <xf numFmtId="0" fontId="5" fillId="0" borderId="8" pivotButton="0" quotePrefix="0" xfId="0"/>
    <xf numFmtId="10" fontId="5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5" fillId="0" borderId="4" applyAlignment="1" pivotButton="0" quotePrefix="0" xfId="0">
      <alignment wrapText="1"/>
    </xf>
    <xf numFmtId="164" fontId="5" fillId="0" borderId="0" pivotButton="0" quotePrefix="0" xfId="0"/>
    <xf numFmtId="3" fontId="5" fillId="0" borderId="0" applyAlignment="1" pivotButton="0" quotePrefix="0" xfId="0">
      <alignment wrapText="1"/>
    </xf>
    <xf numFmtId="37" fontId="5" fillId="0" borderId="0" pivotButton="0" quotePrefix="1" xfId="0"/>
    <xf numFmtId="166" fontId="5" fillId="0" borderId="0" pivotButton="0" quotePrefix="0" xfId="0"/>
    <xf numFmtId="39" fontId="5" fillId="0" borderId="0" pivotButton="0" quotePrefix="0" xfId="0"/>
    <xf numFmtId="0" fontId="5" fillId="4" borderId="1" pivotButton="0" quotePrefix="0" xfId="0"/>
    <xf numFmtId="10" fontId="5" fillId="4" borderId="3" pivotButton="0" quotePrefix="0" xfId="0"/>
    <xf numFmtId="0" fontId="5" fillId="4" borderId="6" applyAlignment="1" pivotButton="0" quotePrefix="0" xfId="0">
      <alignment wrapText="1"/>
    </xf>
    <xf numFmtId="10" fontId="5" fillId="4" borderId="8" pivotButton="0" quotePrefix="0" xfId="0"/>
    <xf numFmtId="164" fontId="5" fillId="0" borderId="0" pivotButton="0" quotePrefix="0" xfId="1"/>
    <xf numFmtId="164" fontId="1" fillId="0" borderId="0" pivotButton="0" quotePrefix="0" xfId="1"/>
    <xf numFmtId="2" fontId="5" fillId="0" borderId="0" pivotButton="0" quotePrefix="0" xfId="0"/>
    <xf numFmtId="10" fontId="1" fillId="0" borderId="0" pivotButton="0" quotePrefix="0" xfId="0"/>
    <xf numFmtId="2" fontId="5" fillId="2" borderId="10" pivotButton="0" quotePrefix="0" xfId="0"/>
    <xf numFmtId="0" fontId="5" fillId="4" borderId="11" applyAlignment="1" pivotButton="0" quotePrefix="0" xfId="0">
      <alignment wrapText="1"/>
    </xf>
    <xf numFmtId="9" fontId="5" fillId="4" borderId="12" pivotButton="0" quotePrefix="0" xfId="1"/>
    <xf numFmtId="39" fontId="1" fillId="0" borderId="0" pivotButton="0" quotePrefix="0" xfId="1"/>
    <xf numFmtId="39" fontId="5" fillId="0" borderId="10" pivotButton="0" quotePrefix="0" xfId="0"/>
    <xf numFmtId="39" fontId="5" fillId="0" borderId="0" pivotButton="0" quotePrefix="0" xfId="1"/>
    <xf numFmtId="39" fontId="5" fillId="0" borderId="0" applyAlignment="1" pivotButton="0" quotePrefix="0" xfId="0">
      <alignment wrapText="1"/>
    </xf>
    <xf numFmtId="10" fontId="5" fillId="0" borderId="0" applyAlignment="1" pivotButton="0" quotePrefix="0" xfId="0">
      <alignment wrapText="1"/>
    </xf>
    <xf numFmtId="9" fontId="5" fillId="0" borderId="0" pivotButton="0" quotePrefix="0" xfId="1"/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 xml:space="preserve"> Growth Trend (2021-2025, $ in millions) 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'Revenue Model'!$A$1</f>
              <strCache>
                <ptCount val="1"/>
                <pt idx="0">
                  <v>Year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cat>
          <val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val>
          <smooth val="0"/>
        </ser>
        <ser>
          <idx val="1"/>
          <order val="1"/>
          <tx>
            <strRef>
              <f>'Revenue Model'!$B$1</f>
              <strCache>
                <ptCount val="1"/>
                <pt idx="0">
                  <v>Revenue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chemeClr val="accent2"/>
              </a:solidFill>
              <a:ln w="31750">
                <a:solidFill>
                  <a:schemeClr val="accent2"/>
                </a:solidFill>
                <a:prstDash val="solid"/>
              </a:ln>
            </spPr>
          </marker>
          <cat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cat>
          <val>
            <numRef>
              <f>'Revenue Model'!$B$2:$B$6</f>
              <numCache>
                <formatCode>#,##0</formatCode>
                <ptCount val="5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2424591"/>
        <axId val="717507536"/>
      </lineChart>
      <catAx>
        <axId val="18242459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7507536"/>
        <crosses val="autoZero"/>
        <auto val="1"/>
        <lblAlgn val="ctr"/>
        <lblOffset val="100"/>
        <noMultiLvlLbl val="0"/>
      </catAx>
      <valAx>
        <axId val="717507536"/>
        <scaling>
          <orientation val="minMax"/>
          <max val="290000"/>
          <min val="180000"/>
        </scaling>
        <delete val="0"/>
        <axPos val="l"/>
        <majorGridlines>
          <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 xml:space="preserve"> Growth ($ in million)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2424591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Year-over-Year Revenue Growth (2022-2025)</a:t>
            </a:r>
            <a:endParaRPr lang="en-US"/>
          </a:p>
        </rich>
      </tx>
      <overlay val="0"/>
      <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% Revenue Growth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cat>
            <numRef>
              <f>'Revenue Model'!$A$3:$A$6</f>
              <numCache>
                <formatCode>General</formatCod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</v>
                </pt>
              </numCache>
            </numRef>
          </cat>
          <val>
            <numRef>
              <f>'Revenue Model'!$D$3:$D$6</f>
              <numCache>
                <formatCode>0.00%</formatCode>
                <ptCount val="4"/>
                <pt idx="0">
                  <v>0.1583481771458028</v>
                </pt>
                <pt idx="1">
                  <v>0.06757316460604357</v>
                </pt>
                <pt idx="2">
                  <v>0.05020017334599025</v>
                </pt>
                <pt idx="3">
                  <v>0.08167323631476142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1887706383"/>
        <axId val="1887708095"/>
      </barChart>
      <catAx>
        <axId val="1887706383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90000"/>
                <a:lumOff val="1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7708095"/>
        <crosses val="autoZero"/>
        <auto val="1"/>
        <lblAlgn val="ctr"/>
        <lblOffset val="100"/>
        <noMultiLvlLbl val="0"/>
      </catAx>
      <valAx>
        <axId val="1887708095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 xml:space="preserve"> Revenue % Growth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770638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Costco Revenue Forecast (2021A–2030E)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Forecast Revenue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strRef>
              <f>'Revenue Model'!$B$36:$K$36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'Revenue Model'!$B$38:$K$38</f>
              <numCache>
                <formatCode>#,##0</formatCode>
                <ptCount val="10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  <pt idx="5">
                  <v>283492.05</v>
                </pt>
                <pt idx="6">
                  <v>291996.8115</v>
                </pt>
                <pt idx="7">
                  <v>300756.715845</v>
                </pt>
                <pt idx="8">
                  <v>309779.41732035</v>
                </pt>
                <pt idx="9">
                  <v>319072.7998399605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966928"/>
        <axId val="88973696"/>
      </lineChart>
      <catAx>
        <axId val="88966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973696"/>
        <crosses val="autoZero"/>
        <auto val="1"/>
        <lblAlgn val="ctr"/>
        <lblOffset val="100"/>
        <noMultiLvlLbl val="0"/>
      </catAx>
      <valAx>
        <axId val="88973696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966928"/>
        <crosses val="autoZero"/>
        <crossBetween val="between"/>
      </valAx>
    </plotArea>
    <plotVisOnly val="1"/>
    <dispBlanksAs val="gap"/>
  </chart>
  <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Model'!$A$6</f>
              <strCache>
                <ptCount val="1"/>
                <pt idx="0">
                  <v>Revenue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Model'!$B$2:$K$2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'3-Statement Model'!$B$6:$K$6</f>
              <numCache>
                <formatCode>#,##0</formatCode>
                <ptCount val="10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  <pt idx="5">
                  <v>283492.05</v>
                </pt>
                <pt idx="6">
                  <v>291996.8115</v>
                </pt>
                <pt idx="7">
                  <v>300756.715845</v>
                </pt>
                <pt idx="8">
                  <v>309779.41732035</v>
                </pt>
                <pt idx="9">
                  <v>319072.7998399605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33677984"/>
        <axId val="333621232"/>
      </lineChart>
      <catAx>
        <axId val="333677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33621232"/>
        <crosses val="autoZero"/>
        <auto val="1"/>
        <lblAlgn val="ctr"/>
        <lblOffset val="100"/>
        <noMultiLvlLbl val="0"/>
      </catAx>
      <valAx>
        <axId val="33362123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336779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Model'!$A$10</f>
              <strCache>
                <ptCount val="1"/>
                <pt idx="0">
                  <v>EBITDA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Model'!$B$2:$K$2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'3-Statement Model'!$B$10:$K$10</f>
              <numCache>
                <formatCode>#,##0</formatCode>
                <ptCount val="10"/>
                <pt idx="0">
                  <v>9570.68</v>
                </pt>
                <pt idx="1">
                  <v>7793</v>
                </pt>
                <pt idx="2">
                  <v>8114</v>
                </pt>
                <pt idx="3">
                  <v>9285</v>
                </pt>
                <pt idx="4">
                  <v>10383</v>
                </pt>
                <pt idx="5">
                  <v>9922.221750000001</v>
                </pt>
                <pt idx="6">
                  <v>10219.88840250001</v>
                </pt>
                <pt idx="7">
                  <v>10526.48505457498</v>
                </pt>
                <pt idx="8">
                  <v>10842.27960621225</v>
                </pt>
                <pt idx="9">
                  <v>11167.54799439862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82944496"/>
        <axId val="1083052976"/>
      </lineChart>
      <catAx>
        <axId val="10829444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83052976"/>
        <crosses val="autoZero"/>
        <auto val="1"/>
        <lblAlgn val="ctr"/>
        <lblOffset val="100"/>
        <noMultiLvlLbl val="0"/>
      </catAx>
      <valAx>
        <axId val="10830529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8294449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Free Cash Flow (FCFF)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Model'!$A$32</f>
              <strCache>
                <ptCount val="1"/>
                <pt idx="0">
                  <v>Free Cash Flow (FCFF)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Model'!$G$2:$K$2</f>
              <strCache>
                <ptCount val="5"/>
                <pt idx="0">
                  <v>2026E</v>
                </pt>
                <pt idx="1">
                  <v>2027E</v>
                </pt>
                <pt idx="2">
                  <v>2028E</v>
                </pt>
                <pt idx="3">
                  <v>2029E</v>
                </pt>
                <pt idx="4">
                  <v>2030E</v>
                </pt>
              </strCache>
            </strRef>
          </cat>
          <val>
            <numRef>
              <f>'3-Statement Model'!$G$32:$K$32</f>
              <numCache>
                <formatCode>#,##0</formatCode>
                <ptCount val="5"/>
                <pt idx="0">
                  <v>6070.803348000001</v>
                </pt>
                <pt idx="1">
                  <v>6252.927448440014</v>
                </pt>
                <pt idx="2">
                  <v>6440.515271893169</v>
                </pt>
                <pt idx="3">
                  <v>6633.730730049992</v>
                </pt>
                <pt idx="4">
                  <v>6832.742651951505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5097776"/>
        <axId val="755099488"/>
      </lineChart>
      <catAx>
        <axId val="7550977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5099488"/>
        <crosses val="autoZero"/>
        <auto val="1"/>
        <lblAlgn val="ctr"/>
        <lblOffset val="100"/>
        <noMultiLvlLbl val="0"/>
      </catAx>
      <valAx>
        <axId val="7550994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509777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63500</colOff>
      <row>8</row>
      <rowOff>50800</rowOff>
    </from>
    <to>
      <col>3</col>
      <colOff>1028700</colOff>
      <row>21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177800</colOff>
      <row>8</row>
      <rowOff>50800</rowOff>
    </from>
    <to>
      <col>9</col>
      <colOff>247650</colOff>
      <row>21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317500</colOff>
      <row>42</row>
      <rowOff>177800</rowOff>
    </from>
    <to>
      <col>4</col>
      <colOff>63047</colOff>
      <row>56</row>
      <rowOff>200480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7</row>
      <rowOff>186871</rowOff>
    </from>
    <to>
      <col>3</col>
      <colOff>800100</colOff>
      <row>19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0</colOff>
      <row>19</row>
      <rowOff>72571</rowOff>
    </from>
    <to>
      <col>3</col>
      <colOff>812800</colOff>
      <row>30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30</row>
      <rowOff>174171</rowOff>
    </from>
    <to>
      <col>3</col>
      <colOff>800100</colOff>
      <row>42</row>
      <rowOff>25400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29" sqref="K29"/>
    </sheetView>
  </sheetViews>
  <sheetFormatPr baseColWidth="10" defaultRowHeight="16"/>
  <sheetData/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D21" sqref="D21"/>
    </sheetView>
  </sheetViews>
  <sheetFormatPr baseColWidth="10" defaultRowHeight="16"/>
  <cols>
    <col width="28.83203125" customWidth="1" min="1" max="1"/>
    <col width="14.83203125" customWidth="1" min="2" max="5"/>
    <col width="45.83203125" customWidth="1" min="6" max="6"/>
  </cols>
  <sheetData>
    <row r="1" ht="20" customHeight="1">
      <c r="A1" s="2" t="inlineStr">
        <is>
          <t>Assumptions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17" customHeight="1" thickBot="1">
      <c r="A2" s="58" t="n"/>
      <c r="B2" s="58" t="n"/>
      <c r="C2" s="58" t="n"/>
      <c r="D2" s="58" t="n"/>
      <c r="E2" s="58" t="n"/>
      <c r="F2" s="58" t="n"/>
      <c r="G2" s="58" t="n"/>
      <c r="H2" s="58" t="n"/>
      <c r="I2" s="58" t="n"/>
    </row>
    <row r="3" customFormat="1" s="1">
      <c r="A3" s="3" t="inlineStr">
        <is>
          <t>Assumption</t>
        </is>
      </c>
      <c r="B3" s="4" t="inlineStr">
        <is>
          <t>Input</t>
        </is>
      </c>
      <c r="C3" s="4" t="n"/>
      <c r="D3" s="4" t="n"/>
      <c r="E3" s="4" t="n"/>
      <c r="F3" s="5" t="inlineStr">
        <is>
          <t>Notes</t>
        </is>
      </c>
    </row>
    <row r="4">
      <c r="A4" s="20" t="n"/>
      <c r="B4" s="58" t="n"/>
      <c r="C4" s="58" t="n"/>
      <c r="D4" s="58" t="n"/>
      <c r="E4" s="58" t="n"/>
      <c r="F4" s="21" t="n"/>
      <c r="G4" s="58" t="n"/>
      <c r="H4" s="58" t="n"/>
      <c r="I4" s="58" t="n"/>
    </row>
    <row r="5">
      <c r="A5" s="22" t="inlineStr">
        <is>
          <t>Revenue Assumptions</t>
        </is>
      </c>
      <c r="B5" s="58" t="n"/>
      <c r="C5" s="58" t="n"/>
      <c r="D5" s="58" t="n"/>
      <c r="E5" s="58" t="n"/>
      <c r="F5" s="21" t="n"/>
      <c r="G5" s="58" t="n"/>
      <c r="H5" s="1" t="inlineStr">
        <is>
          <t>Scenario</t>
        </is>
      </c>
      <c r="I5" s="23">
        <f>'Executive Dashboard'!E4</f>
        <v/>
      </c>
    </row>
    <row r="6" ht="34" customHeight="1">
      <c r="A6" s="34" t="inlineStr">
        <is>
          <t>Reference Revenue Growth (Not Scenario-Driven)</t>
        </is>
      </c>
      <c r="B6" s="24" t="n">
        <v>0.08</v>
      </c>
      <c r="C6" s="24" t="n"/>
      <c r="D6" s="24" t="n"/>
      <c r="E6" s="24" t="n"/>
      <c r="F6" s="21" t="inlineStr">
        <is>
          <t>Normalized growth assumption</t>
        </is>
      </c>
      <c r="G6" s="58" t="n"/>
      <c r="H6" s="58" t="n"/>
      <c r="I6" s="58" t="n"/>
    </row>
    <row r="7">
      <c r="A7" s="20" t="inlineStr">
        <is>
          <t>Bull Case Growth Rate</t>
        </is>
      </c>
      <c r="B7" s="24" t="n">
        <v>0.11</v>
      </c>
      <c r="C7" s="24" t="n"/>
      <c r="D7" s="24" t="n"/>
      <c r="E7" s="24" t="n"/>
      <c r="F7" s="21" t="n"/>
      <c r="G7" s="58" t="n"/>
      <c r="H7" s="58" t="n"/>
      <c r="I7" s="58" t="n"/>
    </row>
    <row r="8">
      <c r="A8" s="20" t="inlineStr">
        <is>
          <t>Bear Case Growth Rate</t>
        </is>
      </c>
      <c r="B8" s="24" t="n">
        <v>0.05</v>
      </c>
      <c r="C8" s="24" t="n"/>
      <c r="D8" s="24" t="n"/>
      <c r="E8" s="24" t="n"/>
      <c r="F8" s="21" t="n"/>
      <c r="G8" s="58" t="n"/>
      <c r="H8" s="58" t="n"/>
      <c r="I8" s="58" t="n"/>
    </row>
    <row r="9">
      <c r="A9" s="20" t="inlineStr">
        <is>
          <t>Membership Growth Rate</t>
        </is>
      </c>
      <c r="B9" s="24" t="n">
        <v>0.06</v>
      </c>
      <c r="C9" s="24" t="n"/>
      <c r="D9" s="24" t="n"/>
      <c r="E9" s="24" t="n"/>
      <c r="F9" s="21" t="inlineStr">
        <is>
          <t>Membership base expansion</t>
        </is>
      </c>
      <c r="G9" s="58" t="n"/>
      <c r="H9" s="58" t="n"/>
      <c r="I9" s="58" t="n"/>
    </row>
    <row r="10">
      <c r="A10" s="20" t="inlineStr">
        <is>
          <t>Avg Ticket Growth Rate</t>
        </is>
      </c>
      <c r="B10" s="24" t="n">
        <v>0.02</v>
      </c>
      <c r="C10" s="24" t="n"/>
      <c r="D10" s="24" t="n"/>
      <c r="E10" s="24" t="n"/>
      <c r="F10" s="21" t="inlineStr">
        <is>
          <t>Pricing + mix</t>
        </is>
      </c>
      <c r="G10" s="58" t="n"/>
      <c r="H10" s="58" t="n"/>
      <c r="I10" s="58" t="n"/>
    </row>
    <row r="11">
      <c r="A11" s="20" t="inlineStr">
        <is>
          <t>Selected Growth Rate</t>
        </is>
      </c>
      <c r="B11" s="24">
        <f>IF($I$5="Base",$B$6,IF($I$5="Bull",$B$7,$B$8))</f>
        <v/>
      </c>
      <c r="C11" s="24" t="n"/>
      <c r="D11" s="24" t="n"/>
      <c r="E11" s="24" t="n"/>
      <c r="F11" s="21" t="n"/>
      <c r="G11" s="58" t="n"/>
      <c r="H11" s="58" t="n"/>
      <c r="I11" s="58" t="n"/>
    </row>
    <row r="12">
      <c r="A12" s="20" t="n"/>
      <c r="B12" s="24" t="n"/>
      <c r="C12" s="24" t="n"/>
      <c r="D12" s="24" t="n"/>
      <c r="E12" s="24" t="n"/>
      <c r="F12" s="21" t="n"/>
      <c r="G12" s="58" t="n"/>
      <c r="H12" s="58" t="n"/>
      <c r="I12" s="58" t="n"/>
    </row>
    <row r="13">
      <c r="A13" s="22" t="inlineStr">
        <is>
          <t>Cost Assumptions</t>
        </is>
      </c>
      <c r="B13" s="58" t="n"/>
      <c r="C13" s="58" t="n"/>
      <c r="D13" s="58" t="n"/>
      <c r="E13" s="58" t="n"/>
      <c r="F13" s="21" t="n"/>
      <c r="G13" s="58" t="n"/>
      <c r="H13" s="58" t="n"/>
      <c r="I13" s="58" t="n"/>
    </row>
    <row r="14">
      <c r="A14" s="20" t="inlineStr">
        <is>
          <t>COGS % of Revenue</t>
        </is>
      </c>
      <c r="B14" s="24">
        <f>'Drivers &amp; Cost Structure'!E11</f>
        <v/>
      </c>
      <c r="C14" s="24" t="n"/>
      <c r="D14" s="24" t="n"/>
      <c r="E14" s="24" t="n"/>
      <c r="F14" s="21" t="n"/>
      <c r="G14" s="58" t="n"/>
      <c r="H14" s="58" t="n"/>
      <c r="I14" s="58" t="n"/>
    </row>
    <row r="15">
      <c r="A15" s="20" t="inlineStr">
        <is>
          <t>Operating Expenses % of Revenue</t>
        </is>
      </c>
      <c r="B15" s="24">
        <f>'Drivers &amp; Cost Structure'!E12</f>
        <v/>
      </c>
      <c r="C15" s="24" t="n"/>
      <c r="D15" s="24" t="n"/>
      <c r="E15" s="24" t="n"/>
      <c r="F15" s="21" t="n"/>
      <c r="G15" s="58" t="n"/>
      <c r="H15" s="58" t="n"/>
      <c r="I15" s="58" t="n"/>
    </row>
    <row r="16">
      <c r="A16" s="20" t="inlineStr">
        <is>
          <t>EBITDA Margin</t>
        </is>
      </c>
      <c r="B16" s="24">
        <f>Sensitivity!$B$16</f>
        <v/>
      </c>
      <c r="C16" s="24" t="n"/>
      <c r="D16" s="24" t="n"/>
      <c r="E16" s="24" t="n"/>
      <c r="F16" s="21" t="n"/>
      <c r="G16" s="58" t="n"/>
      <c r="H16" s="58" t="n"/>
      <c r="I16" s="58" t="n"/>
    </row>
    <row r="17">
      <c r="A17" s="20" t="n"/>
      <c r="B17" s="24" t="n"/>
      <c r="C17" s="24" t="n"/>
      <c r="D17" s="24" t="n"/>
      <c r="E17" s="24" t="n"/>
      <c r="F17" s="21" t="n"/>
      <c r="G17" s="58" t="n"/>
      <c r="H17" s="58" t="n"/>
      <c r="I17" s="58" t="n"/>
    </row>
    <row r="18">
      <c r="A18" s="22" t="inlineStr">
        <is>
          <t>Cash Flow Assumptions</t>
        </is>
      </c>
      <c r="B18" s="24" t="n"/>
      <c r="C18" s="24" t="n"/>
      <c r="D18" s="24" t="n"/>
      <c r="E18" s="24" t="n"/>
      <c r="F18" s="21" t="n"/>
      <c r="G18" s="58" t="n"/>
      <c r="H18" s="58" t="n"/>
      <c r="I18" s="58" t="n"/>
    </row>
    <row r="19">
      <c r="A19" s="20" t="inlineStr">
        <is>
          <t>Effective Tax Rate</t>
        </is>
      </c>
      <c r="B19" s="24" t="n">
        <v>0.24</v>
      </c>
      <c r="C19" s="24" t="n"/>
      <c r="D19" s="24" t="n"/>
      <c r="E19" s="24" t="n"/>
      <c r="F19" s="21" t="n"/>
      <c r="G19" s="58" t="n"/>
      <c r="H19" s="58" t="n"/>
      <c r="I19" s="58" t="n"/>
    </row>
    <row r="20">
      <c r="A20" s="20" t="inlineStr">
        <is>
          <t>Depreciation % of Revenue</t>
        </is>
      </c>
      <c r="B20" s="24" t="n">
        <v>0.016</v>
      </c>
      <c r="C20" s="24" t="n"/>
      <c r="D20" s="24" t="n"/>
      <c r="E20" s="24" t="n"/>
      <c r="F20" s="21" t="n"/>
      <c r="G20" s="58" t="n"/>
      <c r="H20" s="58" t="n"/>
      <c r="I20" s="58" t="n"/>
    </row>
    <row r="21">
      <c r="A21" s="20" t="inlineStr">
        <is>
          <t>CapEx % of Revenue</t>
        </is>
      </c>
      <c r="B21" s="24" t="n">
        <v>0.018</v>
      </c>
      <c r="C21" s="24" t="n">
        <v>0.017</v>
      </c>
      <c r="D21" s="24" t="n">
        <v>0.02</v>
      </c>
      <c r="E21" s="24">
        <f>IF('Drivers &amp; Cost Structure'!B1="Base", B21,
 IF('Drivers &amp; Cost Structure'!B1="Bull", C21,
 IF('Drivers &amp; Cost Structure'!B1="Bear", D21, "")))</f>
        <v/>
      </c>
      <c r="F21" s="21" t="n"/>
      <c r="G21" s="58" t="n"/>
      <c r="H21" s="58" t="n"/>
      <c r="I21" s="58" t="n"/>
    </row>
    <row r="22">
      <c r="A22" s="20" t="inlineStr">
        <is>
          <t>Working Capital % of Revenue</t>
        </is>
      </c>
      <c r="B22" s="24" t="n">
        <v>0.005</v>
      </c>
      <c r="C22" s="24" t="n"/>
      <c r="D22" s="24" t="n"/>
      <c r="E22" s="24" t="n"/>
      <c r="F22" s="21" t="n"/>
      <c r="G22" s="58" t="n"/>
      <c r="H22" s="58" t="n"/>
      <c r="I22" s="58" t="n"/>
    </row>
    <row r="23">
      <c r="A23" s="20" t="n"/>
      <c r="B23" s="24" t="n"/>
      <c r="C23" s="24" t="n"/>
      <c r="D23" s="24" t="n"/>
      <c r="E23" s="24" t="n"/>
      <c r="F23" s="21" t="n"/>
      <c r="G23" s="58" t="n"/>
      <c r="H23" s="58" t="n"/>
      <c r="I23" s="58" t="n"/>
    </row>
    <row r="24">
      <c r="A24" s="22" t="inlineStr">
        <is>
          <t>Valuation Inputs (DCF)</t>
        </is>
      </c>
      <c r="B24" s="24" t="n"/>
      <c r="C24" s="24" t="n"/>
      <c r="D24" s="24" t="n"/>
      <c r="E24" s="24" t="n"/>
      <c r="F24" s="21" t="n"/>
      <c r="G24" s="58" t="n"/>
      <c r="H24" s="58" t="n"/>
      <c r="I24" s="58" t="n"/>
    </row>
    <row r="25">
      <c r="A25" s="20" t="inlineStr">
        <is>
          <t>Risk-Free Rate</t>
        </is>
      </c>
      <c r="B25" s="24" t="n">
        <v>0.04</v>
      </c>
      <c r="C25" s="24" t="n"/>
      <c r="D25" s="24" t="n"/>
      <c r="E25" s="24" t="n"/>
      <c r="F25" s="21" t="n"/>
      <c r="G25" s="58" t="n"/>
      <c r="H25" s="58" t="n"/>
      <c r="I25" s="58" t="n"/>
    </row>
    <row r="26">
      <c r="A26" s="20" t="inlineStr">
        <is>
          <t>Market Risk Premium</t>
        </is>
      </c>
      <c r="B26" s="24" t="n">
        <v>0.055</v>
      </c>
      <c r="C26" s="24" t="n"/>
      <c r="D26" s="24" t="n"/>
      <c r="E26" s="24" t="n"/>
      <c r="F26" s="21" t="n"/>
      <c r="G26" s="58" t="n"/>
      <c r="H26" s="58" t="n"/>
      <c r="I26" s="58" t="n"/>
    </row>
    <row r="27">
      <c r="A27" s="20" t="inlineStr">
        <is>
          <t>Beta</t>
        </is>
      </c>
      <c r="B27" s="25" t="n">
        <v>0.8</v>
      </c>
      <c r="C27" s="25" t="n"/>
      <c r="D27" s="25" t="n"/>
      <c r="E27" s="25" t="n"/>
      <c r="F27" s="21" t="n"/>
      <c r="G27" s="58" t="n"/>
      <c r="H27" s="58" t="n"/>
      <c r="I27" s="58" t="n"/>
    </row>
    <row r="28">
      <c r="A28" s="20" t="inlineStr">
        <is>
          <t>Cost of Debt</t>
        </is>
      </c>
      <c r="B28" s="24" t="n">
        <v>0.045</v>
      </c>
      <c r="C28" s="24" t="n"/>
      <c r="D28" s="24" t="n"/>
      <c r="E28" s="24" t="n"/>
      <c r="F28" s="21" t="n"/>
      <c r="G28" s="58" t="n"/>
      <c r="H28" s="58" t="n"/>
      <c r="I28" s="58" t="n"/>
    </row>
    <row r="29" ht="17" customHeight="1" thickBot="1">
      <c r="A29" s="26" t="inlineStr">
        <is>
          <t>Terminal Growth Rate</t>
        </is>
      </c>
      <c r="B29" s="27" t="n">
        <v>0.025</v>
      </c>
      <c r="C29" s="27" t="n"/>
      <c r="D29" s="27" t="n"/>
      <c r="E29" s="27" t="n"/>
      <c r="F29" s="28" t="n"/>
      <c r="G29" s="58" t="n"/>
      <c r="H29" s="58" t="n"/>
      <c r="I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</row>
  </sheetData>
  <dataValidations count="1">
    <dataValidation sqref="I5" showDropDown="0" showInputMessage="1" showErrorMessage="1" allowBlank="1" type="list">
      <formula1>"Base, Bull, 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RowHeight="16"/>
  <cols>
    <col width="34.83203125" customWidth="1" style="58" min="1" max="1"/>
    <col width="15.83203125" customWidth="1" style="58" min="2" max="6"/>
    <col width="10.83203125" customWidth="1" style="58" min="7" max="7"/>
    <col width="10.83203125" customWidth="1" style="58" min="8" max="16384"/>
  </cols>
  <sheetData>
    <row r="1" ht="21" customHeight="1" thickBot="1">
      <c r="A1" s="8" t="inlineStr">
        <is>
          <t>Line Item</t>
        </is>
      </c>
      <c r="B1" s="8" t="n">
        <v>2021</v>
      </c>
      <c r="C1" s="8" t="n">
        <v>2022</v>
      </c>
      <c r="D1" s="8" t="n">
        <v>2023</v>
      </c>
      <c r="E1" s="8" t="n">
        <v>2024</v>
      </c>
      <c r="F1" s="8" t="n">
        <v>2025</v>
      </c>
    </row>
    <row r="3" ht="18" customHeight="1" thickBot="1">
      <c r="A3" s="7" t="inlineStr">
        <is>
          <t>Income Statement ($ in millions)</t>
        </is>
      </c>
      <c r="B3" s="10" t="n"/>
      <c r="C3" s="10" t="n"/>
      <c r="D3" s="10" t="n"/>
      <c r="E3" s="10" t="n"/>
      <c r="F3" s="10" t="n"/>
    </row>
    <row r="5" ht="17" customHeight="1">
      <c r="A5" s="11" t="inlineStr">
        <is>
          <t>Revenue</t>
        </is>
      </c>
      <c r="B5" s="14" t="n">
        <v>195929</v>
      </c>
      <c r="C5" s="14" t="n">
        <v>226954</v>
      </c>
      <c r="D5" s="14" t="n">
        <v>242290</v>
      </c>
      <c r="E5" s="14" t="n">
        <v>254453</v>
      </c>
      <c r="F5" s="14" t="n">
        <v>275235</v>
      </c>
    </row>
    <row r="6">
      <c r="A6" s="58" t="inlineStr">
        <is>
          <t>Cost of Goods Sold (COGS)</t>
        </is>
      </c>
      <c r="B6" s="14" t="n">
        <v>170684</v>
      </c>
      <c r="C6" s="14" t="n">
        <v>199382</v>
      </c>
      <c r="D6" s="14" t="n">
        <v>212586</v>
      </c>
      <c r="E6" s="14" t="n">
        <v>222358</v>
      </c>
      <c r="F6" s="14" t="n">
        <v>239886</v>
      </c>
    </row>
    <row r="7">
      <c r="A7" s="58" t="inlineStr">
        <is>
          <t>Gross Profit</t>
        </is>
      </c>
      <c r="B7" s="14">
        <f>B5-B6</f>
        <v/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</row>
    <row r="8">
      <c r="A8" s="58" t="inlineStr">
        <is>
          <t>Operating Expenses</t>
        </is>
      </c>
      <c r="B8" s="14" t="n">
        <v>18537</v>
      </c>
      <c r="C8" s="14" t="n">
        <v>19779</v>
      </c>
      <c r="D8" s="14" t="n">
        <v>21590</v>
      </c>
      <c r="E8" s="14" t="n">
        <v>22810</v>
      </c>
      <c r="F8" s="14" t="n">
        <v>24966</v>
      </c>
    </row>
    <row r="9">
      <c r="A9" s="58" t="inlineStr">
        <is>
          <t>EBITDA</t>
        </is>
      </c>
      <c r="B9" s="14">
        <f>B7-B8</f>
        <v/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</row>
    <row r="10">
      <c r="A10" s="58" t="inlineStr">
        <is>
          <t>Depreciation &amp; Amortization</t>
        </is>
      </c>
      <c r="B10" s="14" t="n"/>
      <c r="C10" s="14" t="n"/>
      <c r="D10" s="14" t="n"/>
      <c r="E10" s="14" t="n"/>
      <c r="F10" s="14" t="n"/>
    </row>
    <row r="11">
      <c r="A11" s="58" t="inlineStr">
        <is>
          <t>EBIT (Operating Income)</t>
        </is>
      </c>
      <c r="B11" s="14">
        <f>B9-B10</f>
        <v/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</row>
    <row r="12">
      <c r="A12" s="58" t="inlineStr">
        <is>
          <t>Interest Expense</t>
        </is>
      </c>
      <c r="B12" s="14" t="n">
        <v>171</v>
      </c>
      <c r="C12" s="14" t="n">
        <v>158</v>
      </c>
      <c r="D12" s="14" t="n">
        <v>160</v>
      </c>
      <c r="E12" s="14" t="n">
        <v>169</v>
      </c>
      <c r="F12" s="14" t="n">
        <v>154</v>
      </c>
    </row>
    <row r="13">
      <c r="A13" s="58" t="inlineStr">
        <is>
          <t>Pre-Tax Income</t>
        </is>
      </c>
      <c r="B13" s="14">
        <f>B11-B12</f>
        <v/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</row>
    <row r="14">
      <c r="A14" s="58" t="inlineStr">
        <is>
          <t>Income Tax</t>
        </is>
      </c>
      <c r="B14" s="14" t="n">
        <v>1601</v>
      </c>
      <c r="C14" s="14" t="n">
        <v>1925</v>
      </c>
      <c r="D14" s="14" t="n">
        <v>2195</v>
      </c>
      <c r="E14" s="14" t="n">
        <v>2373</v>
      </c>
      <c r="F14" s="14" t="n">
        <v>2719</v>
      </c>
    </row>
    <row r="15">
      <c r="A15" s="58" t="inlineStr">
        <is>
          <t>Net Income</t>
        </is>
      </c>
      <c r="B15" s="14" t="n">
        <v>5007</v>
      </c>
      <c r="C15" s="14" t="n">
        <v>5844</v>
      </c>
      <c r="D15" s="14" t="n">
        <v>6292</v>
      </c>
      <c r="E15" s="14" t="n">
        <v>7367</v>
      </c>
      <c r="F15" s="14" t="n">
        <v>8099</v>
      </c>
    </row>
    <row r="18" ht="17" customHeight="1">
      <c r="A18" s="12" t="inlineStr">
        <is>
          <t>Balance Sheet ($ in millions)</t>
        </is>
      </c>
      <c r="B18" s="13" t="n"/>
      <c r="C18" s="13" t="n"/>
      <c r="D18" s="13" t="n"/>
      <c r="E18" s="13" t="n"/>
      <c r="F18" s="13" t="n"/>
    </row>
    <row r="20">
      <c r="A20" s="1" t="inlineStr">
        <is>
          <t>Assets</t>
        </is>
      </c>
    </row>
    <row r="21">
      <c r="A21" s="58" t="inlineStr">
        <is>
          <t>Cash &amp; Cash Equivalents</t>
        </is>
      </c>
      <c r="B21" s="14" t="n">
        <v>11258</v>
      </c>
      <c r="C21" s="14" t="n">
        <v>10203</v>
      </c>
      <c r="D21" s="14" t="n">
        <v>13700</v>
      </c>
      <c r="E21" s="14" t="n">
        <v>9906</v>
      </c>
      <c r="F21" s="14" t="n">
        <v>14161</v>
      </c>
    </row>
    <row r="22">
      <c r="A22" s="58" t="inlineStr">
        <is>
          <t>Short-Term Investments</t>
        </is>
      </c>
      <c r="B22" s="14" t="n">
        <v>917</v>
      </c>
      <c r="C22" s="14" t="n">
        <v>846</v>
      </c>
      <c r="D22" s="14" t="n">
        <v>1534</v>
      </c>
      <c r="E22" s="14" t="n">
        <v>1238</v>
      </c>
      <c r="F22" s="14" t="n">
        <v>1123</v>
      </c>
    </row>
    <row r="23">
      <c r="A23" s="58" t="inlineStr">
        <is>
          <t>Accounts Recievable</t>
        </is>
      </c>
      <c r="B23" s="14" t="n">
        <v>1803</v>
      </c>
      <c r="C23" s="14" t="n">
        <v>2241</v>
      </c>
      <c r="D23" s="14" t="n">
        <v>2285</v>
      </c>
      <c r="E23" s="14" t="n">
        <v>2721</v>
      </c>
      <c r="F23" s="14" t="n">
        <v>3203</v>
      </c>
    </row>
    <row r="24">
      <c r="A24" s="58" t="inlineStr">
        <is>
          <t>Inventory</t>
        </is>
      </c>
      <c r="B24" s="14" t="n">
        <v>14215</v>
      </c>
      <c r="C24" s="14" t="n">
        <v>17907</v>
      </c>
      <c r="D24" s="14" t="n">
        <v>16651</v>
      </c>
      <c r="E24" s="14" t="n">
        <v>18647</v>
      </c>
      <c r="F24" s="14" t="n">
        <v>18116</v>
      </c>
    </row>
    <row r="25">
      <c r="A25" s="58" t="inlineStr">
        <is>
          <t>Other Current Assets</t>
        </is>
      </c>
      <c r="B25" s="14" t="n">
        <v>1312</v>
      </c>
      <c r="C25" s="14" t="n">
        <v>1499</v>
      </c>
      <c r="D25" s="14" t="n">
        <v>1709</v>
      </c>
      <c r="E25" s="14" t="n">
        <v>1734</v>
      </c>
      <c r="F25" s="14" t="n">
        <v>1777</v>
      </c>
    </row>
    <row r="26">
      <c r="A26" s="1" t="inlineStr">
        <is>
          <t>Total Current Assets</t>
        </is>
      </c>
      <c r="B26" s="14">
        <f>SUM(B21:B25)</f>
        <v/>
      </c>
      <c r="C26" s="14">
        <f>SUM(C21:C25)</f>
        <v/>
      </c>
      <c r="D26" s="14">
        <f>SUM(D21:D25)</f>
        <v/>
      </c>
      <c r="E26" s="14">
        <f>SUM(E21:E25)</f>
        <v/>
      </c>
      <c r="F26" s="14">
        <f>SUM(F21:F25)</f>
        <v/>
      </c>
    </row>
    <row r="27">
      <c r="B27" s="14" t="n"/>
      <c r="C27" s="14" t="n"/>
      <c r="D27" s="14" t="n"/>
      <c r="E27" s="14" t="n"/>
      <c r="F27" s="14" t="n"/>
    </row>
    <row r="28">
      <c r="A28" s="58" t="inlineStr">
        <is>
          <t>Property, Plant &amp; Equipment (PP&amp;E)</t>
        </is>
      </c>
      <c r="B28" s="14" t="n">
        <v>23492</v>
      </c>
      <c r="C28" s="14" t="n">
        <v>24646</v>
      </c>
      <c r="D28" s="14" t="n">
        <v>26684</v>
      </c>
      <c r="E28" s="14" t="n">
        <v>29032</v>
      </c>
      <c r="F28" s="14" t="n">
        <v>31909</v>
      </c>
    </row>
    <row r="29">
      <c r="A29" s="58" t="inlineStr">
        <is>
          <t>Operating Lease Right of Use Assets</t>
        </is>
      </c>
      <c r="B29" s="14" t="n">
        <v>2890</v>
      </c>
      <c r="C29" s="14" t="n">
        <v>2774</v>
      </c>
      <c r="D29" s="14" t="n">
        <v>2713</v>
      </c>
      <c r="E29" s="14" t="n">
        <v>2617</v>
      </c>
      <c r="F29" s="14" t="n">
        <v>2725</v>
      </c>
    </row>
    <row r="30">
      <c r="A30" s="58" t="inlineStr">
        <is>
          <t>Other Long-Term Assets</t>
        </is>
      </c>
      <c r="B30" s="14" t="n">
        <v>3381</v>
      </c>
      <c r="C30" s="14" t="n">
        <v>4050</v>
      </c>
      <c r="D30" s="14" t="n">
        <v>3718</v>
      </c>
      <c r="E30" s="14" t="n">
        <v>3936</v>
      </c>
      <c r="F30" s="14" t="n">
        <v>4085</v>
      </c>
    </row>
    <row r="31">
      <c r="A31" s="1" t="inlineStr">
        <is>
          <t>Total Assets</t>
        </is>
      </c>
      <c r="B31" s="14">
        <f>B26+B28+B29+B30</f>
        <v/>
      </c>
      <c r="C31" s="14">
        <f>C26+C28+C29+C30</f>
        <v/>
      </c>
      <c r="D31" s="14">
        <f>D26+D28+D29+D30</f>
        <v/>
      </c>
      <c r="E31" s="14">
        <f>E26+E28+E29+E30</f>
        <v/>
      </c>
      <c r="F31" s="14">
        <f>F26+F28+F29+F30</f>
        <v/>
      </c>
    </row>
    <row r="32">
      <c r="B32" s="14" t="n"/>
      <c r="C32" s="14" t="n"/>
      <c r="D32" s="14" t="n"/>
      <c r="E32" s="14" t="n"/>
      <c r="F32" s="14" t="n"/>
    </row>
    <row r="33">
      <c r="A33" s="1" t="inlineStr">
        <is>
          <t>Liabilities</t>
        </is>
      </c>
      <c r="B33" s="14" t="n"/>
      <c r="C33" s="14" t="n"/>
      <c r="D33" s="14" t="n"/>
      <c r="E33" s="14" t="n"/>
      <c r="F33" s="14" t="n"/>
    </row>
    <row r="34">
      <c r="A34" s="58" t="inlineStr">
        <is>
          <t>Accounts Payable</t>
        </is>
      </c>
      <c r="B34" s="14" t="n">
        <v>16278</v>
      </c>
      <c r="C34" s="14" t="n">
        <v>17848</v>
      </c>
      <c r="D34" s="14" t="n">
        <v>17483</v>
      </c>
      <c r="E34" s="14" t="n">
        <v>19421</v>
      </c>
      <c r="F34" s="14" t="n">
        <v>19783</v>
      </c>
    </row>
    <row r="35">
      <c r="A35" s="58" t="inlineStr">
        <is>
          <t>Accrued Salaries &amp; Benefits</t>
        </is>
      </c>
      <c r="B35" s="14" t="n">
        <v>4090</v>
      </c>
      <c r="C35" s="14" t="n">
        <v>4381</v>
      </c>
      <c r="D35" s="14" t="n">
        <v>4278</v>
      </c>
      <c r="E35" s="14" t="n">
        <v>4794</v>
      </c>
      <c r="F35" s="14" t="n">
        <v>5205</v>
      </c>
    </row>
    <row r="36">
      <c r="A36" s="58" t="inlineStr">
        <is>
          <t>Accrued Member Rewards</t>
        </is>
      </c>
      <c r="B36" s="14" t="n">
        <v>1671</v>
      </c>
      <c r="C36" s="14" t="n">
        <v>1911</v>
      </c>
      <c r="D36" s="14" t="n">
        <v>2150</v>
      </c>
      <c r="E36" s="14" t="n">
        <v>2434</v>
      </c>
      <c r="F36" s="14" t="n">
        <v>2677</v>
      </c>
    </row>
    <row r="37">
      <c r="A37" s="58" t="inlineStr">
        <is>
          <t xml:space="preserve">Deferred Membership Fees </t>
        </is>
      </c>
      <c r="B37" s="14" t="n">
        <v>2042</v>
      </c>
      <c r="C37" s="14" t="n">
        <v>2174</v>
      </c>
      <c r="D37" s="14" t="n">
        <v>2337</v>
      </c>
      <c r="E37" s="14" t="n">
        <v>2501</v>
      </c>
      <c r="F37" s="14" t="n">
        <v>2854</v>
      </c>
    </row>
    <row r="38">
      <c r="A38" s="58" t="inlineStr">
        <is>
          <t>Current Portion of Long Term Debt</t>
        </is>
      </c>
      <c r="B38" s="14" t="n">
        <v>799</v>
      </c>
      <c r="C38" s="14" t="n">
        <v>73</v>
      </c>
      <c r="D38" s="14" t="n">
        <v>1081</v>
      </c>
      <c r="E38" s="14" t="n">
        <v>0</v>
      </c>
      <c r="F38" s="14" t="n">
        <v>0</v>
      </c>
    </row>
    <row r="39">
      <c r="A39" s="58" t="inlineStr">
        <is>
          <t>Other Current Liabilities</t>
        </is>
      </c>
      <c r="B39" s="14" t="n">
        <v>4561</v>
      </c>
      <c r="C39" s="14" t="n">
        <v>5611</v>
      </c>
      <c r="D39" s="14" t="n">
        <v>6254</v>
      </c>
      <c r="E39" s="14" t="n">
        <v>6313</v>
      </c>
      <c r="F39" s="14" t="n">
        <v>6589</v>
      </c>
    </row>
    <row r="40">
      <c r="A40" s="58" t="inlineStr">
        <is>
          <t>Long-Term Debt</t>
        </is>
      </c>
      <c r="B40" s="14" t="n">
        <v>6692</v>
      </c>
      <c r="C40" s="14" t="n">
        <v>6484</v>
      </c>
      <c r="D40" s="14" t="n">
        <v>5377</v>
      </c>
      <c r="E40" s="14" t="n">
        <v>5794</v>
      </c>
      <c r="F40" s="14" t="n">
        <v>5713</v>
      </c>
    </row>
    <row r="41">
      <c r="A41" s="58" t="inlineStr">
        <is>
          <t xml:space="preserve">Operating Lease Liabilities </t>
        </is>
      </c>
      <c r="B41" s="14" t="n">
        <v>2642</v>
      </c>
      <c r="C41" s="14" t="n">
        <v>2482</v>
      </c>
      <c r="D41" s="14" t="n">
        <v>2426</v>
      </c>
      <c r="E41" s="14" t="n">
        <v>2375</v>
      </c>
      <c r="F41" s="14" t="n">
        <v>2460</v>
      </c>
    </row>
    <row r="42">
      <c r="A42" s="58" t="inlineStr">
        <is>
          <t>Other Liabilities</t>
        </is>
      </c>
      <c r="B42" s="14" t="n">
        <v>2415</v>
      </c>
      <c r="C42" s="14" t="n">
        <v>2555</v>
      </c>
      <c r="D42" s="14" t="n">
        <v>2550</v>
      </c>
      <c r="E42" s="14" t="n">
        <v>2576</v>
      </c>
      <c r="F42" s="14" t="n">
        <v>2654</v>
      </c>
    </row>
    <row r="43">
      <c r="A43" s="1" t="inlineStr">
        <is>
          <t>Total Liabilities</t>
        </is>
      </c>
      <c r="B43" s="14">
        <f>SUM(B34:B42)</f>
        <v/>
      </c>
      <c r="C43" s="14">
        <f>SUM(C34:C42)</f>
        <v/>
      </c>
      <c r="D43" s="14">
        <f>SUM(D34:D42)</f>
        <v/>
      </c>
      <c r="E43" s="14">
        <f>SUM(E34:E42)</f>
        <v/>
      </c>
      <c r="F43" s="14">
        <f>SUM(F34:F42)</f>
        <v/>
      </c>
    </row>
    <row r="44">
      <c r="B44" s="14" t="n"/>
      <c r="C44" s="14" t="n"/>
      <c r="D44" s="14" t="n"/>
      <c r="E44" s="14" t="n"/>
      <c r="F44" s="14" t="n"/>
    </row>
    <row r="45">
      <c r="A45" s="1" t="inlineStr">
        <is>
          <t>Equity</t>
        </is>
      </c>
      <c r="B45" s="14" t="n"/>
      <c r="C45" s="14" t="n"/>
      <c r="D45" s="14" t="n"/>
      <c r="E45" s="14" t="n"/>
      <c r="F45" s="14" t="n"/>
    </row>
    <row r="46">
      <c r="A46" s="58" t="inlineStr">
        <is>
          <t>Share Capital</t>
        </is>
      </c>
      <c r="B46" s="14" t="n">
        <v>4</v>
      </c>
      <c r="C46" s="14" t="n">
        <v>2</v>
      </c>
      <c r="D46" s="14" t="n">
        <v>2</v>
      </c>
      <c r="E46" s="14" t="n">
        <v>2</v>
      </c>
      <c r="F46" s="14" t="n">
        <v>2</v>
      </c>
    </row>
    <row r="47">
      <c r="A47" s="58" t="inlineStr">
        <is>
          <t>Additional Paid-In Capital</t>
        </is>
      </c>
      <c r="B47" s="14" t="n">
        <v>7031</v>
      </c>
      <c r="C47" s="14" t="n">
        <v>6884</v>
      </c>
      <c r="D47" s="14" t="n">
        <v>7340</v>
      </c>
      <c r="E47" s="14" t="n">
        <v>7830</v>
      </c>
      <c r="F47" s="14" t="n">
        <v>8282</v>
      </c>
    </row>
    <row r="48">
      <c r="A48" s="58" t="inlineStr">
        <is>
          <t>Retained Earnings</t>
        </is>
      </c>
      <c r="B48" s="14" t="n">
        <v>11666</v>
      </c>
      <c r="C48" s="14" t="n">
        <v>15585</v>
      </c>
      <c r="D48" s="14" t="n">
        <v>19521</v>
      </c>
      <c r="E48" s="14" t="n">
        <v>17619</v>
      </c>
      <c r="F48" s="14" t="n">
        <v>22650</v>
      </c>
    </row>
    <row r="49">
      <c r="A49" s="58" t="inlineStr">
        <is>
          <t>Noncontrolling Interests</t>
        </is>
      </c>
      <c r="B49" s="14" t="n">
        <v>514</v>
      </c>
      <c r="C49" s="14" t="n">
        <v>5</v>
      </c>
      <c r="D49" s="14" t="n">
        <v>0</v>
      </c>
      <c r="E49" s="14" t="n">
        <v>0</v>
      </c>
      <c r="F49" s="14" t="n">
        <v>0</v>
      </c>
    </row>
    <row r="50" ht="34" customHeight="1">
      <c r="A50" s="11" t="inlineStr">
        <is>
          <t>Accumulated Other Comprehensive Income (Loss)</t>
        </is>
      </c>
      <c r="B50" s="15" t="n">
        <v>-1137</v>
      </c>
      <c r="C50" s="15" t="n">
        <v>-1829</v>
      </c>
      <c r="D50" s="15" t="n">
        <v>-1805</v>
      </c>
      <c r="E50" s="15" t="n">
        <v>-1828</v>
      </c>
      <c r="F50" s="15" t="n">
        <v>-1770</v>
      </c>
    </row>
    <row r="51">
      <c r="A51" s="1" t="inlineStr">
        <is>
          <t>Total Equity</t>
        </is>
      </c>
      <c r="B51" s="14">
        <f>SUM(B46:B50)</f>
        <v/>
      </c>
      <c r="C51" s="14">
        <f>SUM(C46:C50)</f>
        <v/>
      </c>
      <c r="D51" s="14">
        <f>SUM(D46:D50)</f>
        <v/>
      </c>
      <c r="E51" s="14">
        <f>SUM(E46:E50)</f>
        <v/>
      </c>
      <c r="F51" s="14">
        <f>SUM(F46:F50)</f>
        <v/>
      </c>
    </row>
    <row r="53">
      <c r="A53" s="1" t="inlineStr">
        <is>
          <t>Total Liabilities &amp; Equity</t>
        </is>
      </c>
      <c r="B53" s="14">
        <f>B43+B51</f>
        <v/>
      </c>
      <c r="C53" s="14">
        <f>C43+C51</f>
        <v/>
      </c>
      <c r="D53" s="14">
        <f>D43+D51</f>
        <v/>
      </c>
      <c r="E53" s="14">
        <f>E43+E51</f>
        <v/>
      </c>
      <c r="F53" s="14">
        <f>F43+F51</f>
        <v/>
      </c>
    </row>
    <row r="55" ht="17" customHeight="1">
      <c r="A55" s="12" t="inlineStr">
        <is>
          <t>Cash Flow Statement ($ in millions)</t>
        </is>
      </c>
      <c r="B55" s="13" t="n"/>
      <c r="C55" s="13" t="n"/>
      <c r="D55" s="13" t="n"/>
      <c r="E55" s="13" t="n"/>
      <c r="F55" s="13" t="n"/>
    </row>
    <row r="57">
      <c r="A57" s="1" t="inlineStr">
        <is>
          <t>Operating Cash Flow</t>
        </is>
      </c>
    </row>
    <row r="58">
      <c r="A58" s="58" t="inlineStr">
        <is>
          <t>Net Income</t>
        </is>
      </c>
      <c r="B58" s="14" t="n">
        <v>5079</v>
      </c>
      <c r="C58" s="14" t="n">
        <v>5915</v>
      </c>
      <c r="D58" s="14" t="n">
        <v>6292</v>
      </c>
      <c r="E58" s="14" t="n">
        <v>7367</v>
      </c>
      <c r="F58" s="14" t="n">
        <v>8099</v>
      </c>
    </row>
    <row r="59">
      <c r="A59" s="58" t="inlineStr">
        <is>
          <t>Depreciation &amp; Amortization</t>
        </is>
      </c>
      <c r="B59" s="14" t="n">
        <v>1781</v>
      </c>
      <c r="C59" s="14" t="n">
        <v>1900</v>
      </c>
      <c r="D59" s="14" t="n">
        <v>2077</v>
      </c>
      <c r="E59" s="14" t="n">
        <v>2237</v>
      </c>
      <c r="F59" s="14" t="n">
        <v>2426</v>
      </c>
    </row>
    <row r="60">
      <c r="A60" s="58" t="inlineStr">
        <is>
          <t>Non-cash Lease Expense</t>
        </is>
      </c>
      <c r="B60" s="14" t="n">
        <v>286</v>
      </c>
      <c r="C60" s="14" t="n">
        <v>377</v>
      </c>
      <c r="D60" s="14" t="n">
        <v>412</v>
      </c>
      <c r="E60" s="14" t="n">
        <v>315</v>
      </c>
      <c r="F60" s="14" t="n">
        <v>303</v>
      </c>
    </row>
    <row r="61">
      <c r="A61" s="58" t="inlineStr">
        <is>
          <t>Stock-based Compensation</t>
        </is>
      </c>
      <c r="B61" s="14" t="n">
        <v>665</v>
      </c>
      <c r="C61" s="14" t="n">
        <v>724</v>
      </c>
      <c r="D61" s="14" t="n">
        <v>774</v>
      </c>
      <c r="E61" s="14" t="n">
        <v>818</v>
      </c>
      <c r="F61" s="14" t="n">
        <v>860</v>
      </c>
    </row>
    <row r="62">
      <c r="A62" s="58" t="inlineStr">
        <is>
          <t>Impairment &amp; other non-cash</t>
        </is>
      </c>
      <c r="B62" s="14" t="n">
        <v>144</v>
      </c>
      <c r="C62" s="14" t="n">
        <v>39</v>
      </c>
      <c r="D62" s="14" t="n">
        <v>495</v>
      </c>
      <c r="E62" s="15" t="n">
        <v>-9</v>
      </c>
      <c r="F62" s="15" t="n">
        <v>-117</v>
      </c>
    </row>
    <row r="63" ht="17" customHeight="1">
      <c r="A63" s="58" t="inlineStr">
        <is>
          <t>Changes in Inventory</t>
        </is>
      </c>
      <c r="B63" s="15" t="n">
        <v>-1892</v>
      </c>
      <c r="C63" s="15" t="n">
        <v>-4003</v>
      </c>
      <c r="D63" s="15" t="n">
        <v>1228</v>
      </c>
      <c r="E63" s="15" t="n">
        <v>-2068</v>
      </c>
      <c r="F63" s="14" t="n">
        <v>559</v>
      </c>
    </row>
    <row r="64" ht="17" customHeight="1">
      <c r="A64" s="58" t="inlineStr">
        <is>
          <t>Changes in Accounts Payable</t>
        </is>
      </c>
      <c r="B64" s="14" t="n">
        <v>1838</v>
      </c>
      <c r="C64" s="14" t="n">
        <v>1891</v>
      </c>
      <c r="D64" s="15" t="n">
        <v>-382</v>
      </c>
      <c r="E64" s="14" t="n">
        <v>1938</v>
      </c>
      <c r="F64" s="14" t="n">
        <v>404</v>
      </c>
    </row>
    <row r="65">
      <c r="A65" s="58" t="inlineStr">
        <is>
          <t>Other operating assets &amp; liabilites</t>
        </is>
      </c>
      <c r="B65" s="14" t="n">
        <v>1057</v>
      </c>
      <c r="C65" s="14" t="n">
        <v>549</v>
      </c>
      <c r="D65" s="14" t="n">
        <v>172</v>
      </c>
      <c r="E65" s="14" t="n">
        <v>741</v>
      </c>
      <c r="F65" s="14" t="n">
        <v>801</v>
      </c>
    </row>
    <row r="66">
      <c r="A66" s="1" t="inlineStr">
        <is>
          <t>Cash Flow from Operations</t>
        </is>
      </c>
      <c r="B66" s="14">
        <f>SUM(B58:B65)</f>
        <v/>
      </c>
      <c r="C66" s="14">
        <f>SUM(C58:C65)</f>
        <v/>
      </c>
      <c r="D66" s="14">
        <f>SUM(D58:D65)</f>
        <v/>
      </c>
      <c r="E66" s="14">
        <f>SUM(E58:E65)</f>
        <v/>
      </c>
      <c r="F66" s="14">
        <f>SUM(F58:F65)</f>
        <v/>
      </c>
    </row>
    <row r="68">
      <c r="A68" s="1" t="inlineStr">
        <is>
          <t>Investing Cash Flow</t>
        </is>
      </c>
    </row>
    <row r="69">
      <c r="A69" s="58" t="inlineStr">
        <is>
          <t>Purchases of short-term investments</t>
        </is>
      </c>
      <c r="B69" s="15" t="n">
        <v>-1331</v>
      </c>
      <c r="C69" s="15" t="n">
        <v>-1121</v>
      </c>
      <c r="D69" s="15" t="n">
        <v>-1622</v>
      </c>
      <c r="E69" s="15" t="n">
        <v>-1470</v>
      </c>
      <c r="F69" s="15" t="n">
        <v>-1028</v>
      </c>
    </row>
    <row r="70">
      <c r="A70" s="58" t="inlineStr">
        <is>
          <t>Maturities of short-term investments</t>
        </is>
      </c>
      <c r="B70" s="15" t="n">
        <v>1446</v>
      </c>
      <c r="C70" s="15" t="n">
        <v>1145</v>
      </c>
      <c r="D70" s="15" t="n">
        <v>937</v>
      </c>
      <c r="E70" s="15" t="n">
        <v>1790</v>
      </c>
      <c r="F70" s="15" t="n">
        <v>1141</v>
      </c>
    </row>
    <row r="71">
      <c r="A71" s="58" t="inlineStr">
        <is>
          <t>Capital Expenditures</t>
        </is>
      </c>
      <c r="B71" s="15" t="n">
        <v>-3588</v>
      </c>
      <c r="C71" s="15" t="n">
        <v>-3891</v>
      </c>
      <c r="D71" s="15" t="n">
        <v>-4323</v>
      </c>
      <c r="E71" s="15" t="n">
        <v>-4710</v>
      </c>
      <c r="F71" s="15" t="n">
        <v>-5498</v>
      </c>
    </row>
    <row r="72">
      <c r="A72" s="58" t="inlineStr">
        <is>
          <t>Other investing activites</t>
        </is>
      </c>
      <c r="B72" s="15" t="n">
        <v>-62</v>
      </c>
      <c r="C72" s="15" t="n">
        <v>-48</v>
      </c>
      <c r="D72" s="15" t="n">
        <v>36</v>
      </c>
      <c r="E72" s="15" t="n">
        <v>-19</v>
      </c>
      <c r="F72" s="15" t="n">
        <v>74</v>
      </c>
    </row>
    <row r="73" ht="34" customHeight="1">
      <c r="A73" s="16" t="inlineStr">
        <is>
          <t>Net Cash Flow from Investing Activites</t>
        </is>
      </c>
      <c r="B73" s="15">
        <f>SUM(B69:B72)</f>
        <v/>
      </c>
      <c r="C73" s="15">
        <f>SUM(C69:C72)</f>
        <v/>
      </c>
      <c r="D73" s="15">
        <f>SUM(D69:D72)</f>
        <v/>
      </c>
      <c r="E73" s="15">
        <f>SUM(E69:E72)</f>
        <v/>
      </c>
      <c r="F73" s="15">
        <f>SUM(F69:F72)</f>
        <v/>
      </c>
    </row>
    <row r="75">
      <c r="A75" s="1" t="inlineStr">
        <is>
          <t>Financing Cash Flow</t>
        </is>
      </c>
    </row>
    <row r="76">
      <c r="A76" s="58" t="inlineStr">
        <is>
          <t>Repayment of short-term borrowings</t>
        </is>
      </c>
      <c r="C76" s="15" t="n">
        <v>-6</v>
      </c>
      <c r="D76" s="15" t="n">
        <v>-935</v>
      </c>
      <c r="E76" s="15" t="n">
        <v>-920</v>
      </c>
      <c r="F76" s="15" t="n">
        <v>-862</v>
      </c>
    </row>
    <row r="77">
      <c r="A77" s="58" t="inlineStr">
        <is>
          <t>Proceeds from short-term debt</t>
        </is>
      </c>
      <c r="B77" s="15" t="n">
        <v>41</v>
      </c>
      <c r="C77" s="15" t="n">
        <v>53</v>
      </c>
      <c r="D77" s="15" t="n">
        <v>917</v>
      </c>
      <c r="E77" s="15" t="n">
        <v>928</v>
      </c>
      <c r="F77" s="15" t="n">
        <v>816</v>
      </c>
    </row>
    <row r="78">
      <c r="A78" s="58" t="inlineStr">
        <is>
          <t>Repayment of long-term debt</t>
        </is>
      </c>
      <c r="B78" s="15" t="n">
        <v>-94</v>
      </c>
      <c r="C78" s="15" t="n">
        <v>-800</v>
      </c>
      <c r="D78" s="15" t="n">
        <v>-75</v>
      </c>
      <c r="E78" s="15" t="n">
        <v>-1077</v>
      </c>
      <c r="F78" s="15" t="n">
        <v>-103</v>
      </c>
    </row>
    <row r="79">
      <c r="A79" s="58" t="inlineStr">
        <is>
          <t>Proceeds from long-term debt</t>
        </is>
      </c>
      <c r="B79" s="15" t="n"/>
      <c r="C79" s="15" t="n"/>
      <c r="D79" s="15" t="n"/>
      <c r="E79" s="15" t="n">
        <v>498</v>
      </c>
      <c r="F79" s="15" t="n"/>
    </row>
    <row r="80">
      <c r="A80" s="58" t="inlineStr">
        <is>
          <t>Tax withholdings on stock comp</t>
        </is>
      </c>
      <c r="B80" s="15" t="n">
        <v>-312</v>
      </c>
      <c r="C80" s="15" t="n">
        <v>-363</v>
      </c>
      <c r="D80" s="15" t="n">
        <v>-303</v>
      </c>
      <c r="E80" s="15" t="n">
        <v>-315</v>
      </c>
      <c r="F80" s="15" t="n">
        <v>-393</v>
      </c>
    </row>
    <row r="81">
      <c r="A81" s="58" t="inlineStr">
        <is>
          <t>Repurchases of common stock</t>
        </is>
      </c>
      <c r="B81" s="15" t="n">
        <v>-496</v>
      </c>
      <c r="C81" s="15" t="n">
        <v>-439</v>
      </c>
      <c r="D81" s="15" t="n">
        <v>-676</v>
      </c>
      <c r="E81" s="15" t="n">
        <v>-700</v>
      </c>
      <c r="F81" s="15" t="n">
        <v>-903</v>
      </c>
    </row>
    <row r="82">
      <c r="A82" s="58" t="inlineStr">
        <is>
          <t>Dividend to noncontrolling interest</t>
        </is>
      </c>
      <c r="B82" s="15" t="n"/>
      <c r="C82" s="15" t="n">
        <v>-208</v>
      </c>
      <c r="D82" s="15" t="n"/>
      <c r="E82" s="15" t="n"/>
      <c r="F82" s="15" t="n"/>
    </row>
    <row r="83">
      <c r="A83" s="58" t="inlineStr">
        <is>
          <t>Cash Dividends Paid</t>
        </is>
      </c>
      <c r="B83" s="15" t="n">
        <v>-5748</v>
      </c>
      <c r="C83" s="15" t="n">
        <v>-1498</v>
      </c>
      <c r="D83" s="15" t="n">
        <v>-1251</v>
      </c>
      <c r="E83" s="15" t="n">
        <v>-9041</v>
      </c>
      <c r="F83" s="15" t="n">
        <v>-2183</v>
      </c>
    </row>
    <row r="84">
      <c r="A84" s="58" t="inlineStr">
        <is>
          <t>Financing lease payments</t>
        </is>
      </c>
      <c r="B84" s="15" t="n">
        <v>-67</v>
      </c>
      <c r="C84" s="15" t="n">
        <v>-176</v>
      </c>
      <c r="D84" s="15" t="n">
        <v>-291</v>
      </c>
      <c r="E84" s="15" t="n">
        <v>-137</v>
      </c>
      <c r="F84" s="15" t="n">
        <v>-147</v>
      </c>
    </row>
    <row r="85">
      <c r="A85" s="58" t="inlineStr">
        <is>
          <t>Other financing activities</t>
        </is>
      </c>
      <c r="B85" s="15" t="n">
        <v>188</v>
      </c>
      <c r="C85" s="15" t="n">
        <v>-4</v>
      </c>
      <c r="D85" s="15" t="n"/>
      <c r="E85" s="15" t="n"/>
      <c r="F85" s="15" t="n"/>
    </row>
    <row r="86">
      <c r="A86" s="1" t="inlineStr">
        <is>
          <t>Cash Flow from Financing</t>
        </is>
      </c>
      <c r="B86" s="15">
        <f>SUM(B76:B85)</f>
        <v/>
      </c>
      <c r="C86" s="15">
        <f>SUM(C76:C85)</f>
        <v/>
      </c>
      <c r="D86" s="15">
        <f>SUM(D76:D85)</f>
        <v/>
      </c>
      <c r="E86" s="15">
        <f>SUM(E76:E85)</f>
        <v/>
      </c>
      <c r="F86" s="15">
        <f>SUM(F76:F85)</f>
        <v/>
      </c>
    </row>
    <row r="88">
      <c r="A88" s="1" t="inlineStr">
        <is>
          <t>Net Change in Cash</t>
        </is>
      </c>
      <c r="B88" s="15" t="n">
        <v>-1019</v>
      </c>
      <c r="C88" s="15" t="n">
        <v>-1055</v>
      </c>
      <c r="D88" s="15" t="n">
        <v>3497</v>
      </c>
      <c r="E88" s="15" t="n">
        <v>-3794</v>
      </c>
      <c r="F88" s="15" t="n">
        <v>4255</v>
      </c>
    </row>
    <row r="89">
      <c r="A89" s="58" t="inlineStr">
        <is>
          <t>Beginning Cash Balance</t>
        </is>
      </c>
      <c r="B89" s="15" t="n">
        <v>12277</v>
      </c>
      <c r="C89" s="15" t="n">
        <v>11258</v>
      </c>
      <c r="D89" s="15" t="n">
        <v>10203</v>
      </c>
      <c r="E89" s="15" t="n">
        <v>13700</v>
      </c>
      <c r="F89" s="15" t="n">
        <v>9906</v>
      </c>
    </row>
    <row r="90">
      <c r="A90" s="1" t="inlineStr">
        <is>
          <t>Ending Cash Balance</t>
        </is>
      </c>
      <c r="B90" s="15">
        <f>B89+B88</f>
        <v/>
      </c>
      <c r="C90" s="15">
        <f>C89+C88</f>
        <v/>
      </c>
      <c r="D90" s="15">
        <f>D89+D88</f>
        <v/>
      </c>
      <c r="E90" s="15">
        <f>E89+E88</f>
        <v/>
      </c>
      <c r="F90" s="15">
        <f>F89+F88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tabSelected="1" zoomScale="68" zoomScaleNormal="70" workbookViewId="0">
      <selection activeCell="H40" sqref="H40"/>
    </sheetView>
  </sheetViews>
  <sheetFormatPr baseColWidth="10" defaultRowHeight="16"/>
  <cols>
    <col width="15.83203125" customWidth="1" style="58" min="1" max="2"/>
    <col width="15.6640625" customWidth="1" style="58" min="3" max="3"/>
    <col width="15.83203125" customWidth="1" style="58" min="4" max="6"/>
    <col width="15.6640625" customWidth="1" style="58" min="7" max="7"/>
    <col width="15.83203125" customWidth="1" style="58" min="8" max="11"/>
    <col width="10.83203125" customWidth="1" style="58" min="12" max="12"/>
    <col width="10.83203125" customWidth="1" style="58" min="13" max="16384"/>
  </cols>
  <sheetData>
    <row r="1" ht="34" customHeight="1">
      <c r="A1" s="58" t="inlineStr">
        <is>
          <t>Year</t>
        </is>
      </c>
      <c r="B1" s="58" t="inlineStr">
        <is>
          <t>Revenue</t>
        </is>
      </c>
      <c r="C1" s="58" t="inlineStr">
        <is>
          <t>$ Change</t>
        </is>
      </c>
      <c r="D1" s="58" t="inlineStr">
        <is>
          <t>% Growth</t>
        </is>
      </c>
      <c r="E1" s="11" t="inlineStr">
        <is>
          <t>Growth Index (base=100)</t>
        </is>
      </c>
      <c r="F1" s="11" t="n"/>
    </row>
    <row r="2">
      <c r="A2" s="58" t="n">
        <v>2021</v>
      </c>
      <c r="B2" s="14">
        <f>'Historical Finances'!B5</f>
        <v/>
      </c>
      <c r="C2" s="14" t="n"/>
      <c r="D2" s="14" t="n"/>
      <c r="E2" s="14">
        <f>100</f>
        <v/>
      </c>
      <c r="F2" s="14" t="n"/>
    </row>
    <row r="3">
      <c r="A3" s="58" t="n">
        <v>2022</v>
      </c>
      <c r="B3" s="14">
        <f>'Historical Finances'!C5</f>
        <v/>
      </c>
      <c r="C3" s="14">
        <f>B3-B2</f>
        <v/>
      </c>
      <c r="D3" s="29">
        <f>(B3/B2)-1</f>
        <v/>
      </c>
      <c r="E3" s="14">
        <f>(B3/$B$2)*100</f>
        <v/>
      </c>
      <c r="F3" s="14" t="n"/>
    </row>
    <row r="4">
      <c r="A4" s="58" t="n">
        <v>2023</v>
      </c>
      <c r="B4" s="14">
        <f>'Historical Finances'!D5</f>
        <v/>
      </c>
      <c r="C4" s="14">
        <f>B4-B3</f>
        <v/>
      </c>
      <c r="D4" s="29">
        <f>(B4/B3)-1</f>
        <v/>
      </c>
      <c r="E4" s="14">
        <f>(B4/$B$2)*100</f>
        <v/>
      </c>
      <c r="F4" s="14" t="n"/>
    </row>
    <row r="5">
      <c r="A5" s="58" t="n">
        <v>2024</v>
      </c>
      <c r="B5" s="14">
        <f>'Historical Finances'!E5</f>
        <v/>
      </c>
      <c r="C5" s="14">
        <f>B5-B4</f>
        <v/>
      </c>
      <c r="D5" s="29">
        <f>(B5/B4)-1</f>
        <v/>
      </c>
      <c r="E5" s="14">
        <f>(B5/$B$2)*100</f>
        <v/>
      </c>
      <c r="F5" s="14" t="n"/>
    </row>
    <row r="6">
      <c r="A6" s="58" t="n">
        <v>2025</v>
      </c>
      <c r="B6" s="14">
        <f>'Historical Finances'!F5</f>
        <v/>
      </c>
      <c r="C6" s="14">
        <f>B6-B5</f>
        <v/>
      </c>
      <c r="D6" s="29">
        <f>(B6/B5)-1</f>
        <v/>
      </c>
      <c r="E6" s="14">
        <f>(B6/$B$2)*100</f>
        <v/>
      </c>
      <c r="F6" s="14" t="n"/>
    </row>
    <row r="8">
      <c r="A8" s="58" t="inlineStr">
        <is>
          <t>CAGR (overall growth per year)</t>
        </is>
      </c>
      <c r="C8" s="29" t="n">
        <v>0.08868248129197176</v>
      </c>
    </row>
    <row r="9">
      <c r="C9" s="29" t="n"/>
    </row>
    <row r="36">
      <c r="B36" s="32" t="inlineStr">
        <is>
          <t>2021A</t>
        </is>
      </c>
      <c r="C36" s="32" t="inlineStr">
        <is>
          <t>2022A</t>
        </is>
      </c>
      <c r="D36" s="32" t="inlineStr">
        <is>
          <t>2023A</t>
        </is>
      </c>
      <c r="E36" s="32" t="inlineStr">
        <is>
          <t>2024A</t>
        </is>
      </c>
      <c r="F36" s="32" t="inlineStr">
        <is>
          <t>2025A</t>
        </is>
      </c>
      <c r="G36" s="33" t="inlineStr">
        <is>
          <t>2026E</t>
        </is>
      </c>
      <c r="H36" s="33" t="inlineStr">
        <is>
          <t>2027E</t>
        </is>
      </c>
      <c r="I36" s="33" t="inlineStr">
        <is>
          <t>2028E</t>
        </is>
      </c>
      <c r="J36" s="33" t="inlineStr">
        <is>
          <t>2029E</t>
        </is>
      </c>
      <c r="K36" s="33" t="inlineStr">
        <is>
          <t>2030E</t>
        </is>
      </c>
    </row>
    <row r="38">
      <c r="A38" t="inlineStr">
        <is>
          <t>Revenue</t>
        </is>
      </c>
      <c r="B38" s="14">
        <f>'Historical Finances'!B5</f>
        <v/>
      </c>
      <c r="C38" s="14">
        <f>'Historical Finances'!C5</f>
        <v/>
      </c>
      <c r="D38" s="14">
        <f>'Historical Finances'!D5</f>
        <v/>
      </c>
      <c r="E38" s="14">
        <f>'Historical Finances'!E5</f>
        <v/>
      </c>
      <c r="F38" s="14">
        <f>'Historical Finances'!F5</f>
        <v/>
      </c>
      <c r="G38" s="17">
        <f>F38*(1+G40)</f>
        <v/>
      </c>
      <c r="H38" s="17">
        <f>G38*(1+H40)</f>
        <v/>
      </c>
      <c r="I38" s="17">
        <f>H38*(1+I40)</f>
        <v/>
      </c>
      <c r="J38" s="17">
        <f>I38*(1+J40)</f>
        <v/>
      </c>
      <c r="K38" s="17">
        <f>J38*(1+K40)</f>
        <v/>
      </c>
    </row>
    <row r="40">
      <c r="A40" s="57" t="inlineStr">
        <is>
          <t>Forecast Revenue Growth %</t>
        </is>
      </c>
      <c r="G40" s="19">
        <f>'Drivers &amp; Cost Structure'!$E$7</f>
        <v/>
      </c>
      <c r="H40" s="19">
        <f>'Drivers &amp; Cost Structure'!$E$7</f>
        <v/>
      </c>
      <c r="I40" s="19">
        <f>'Drivers &amp; Cost Structure'!$E$7</f>
        <v/>
      </c>
      <c r="J40" s="19">
        <f>'Drivers &amp; Cost Structure'!$E$7</f>
        <v/>
      </c>
      <c r="K40" s="19">
        <f>'Drivers &amp; Cost Structure'!$E$7</f>
        <v/>
      </c>
    </row>
    <row r="42" ht="34" customHeight="1">
      <c r="A42" s="31" t="inlineStr">
        <is>
          <t>Revenue CAGR (2025A-2030E)</t>
        </is>
      </c>
      <c r="B42" s="30" t="n">
        <v>0.05574999999999997</v>
      </c>
    </row>
  </sheetData>
  <mergeCells count="1">
    <mergeCell ref="A40:B40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Normal="100" workbookViewId="0">
      <selection activeCell="F2" sqref="F2"/>
    </sheetView>
  </sheetViews>
  <sheetFormatPr baseColWidth="10" defaultRowHeight="16"/>
  <cols>
    <col width="18.83203125" customWidth="1" min="1" max="1"/>
  </cols>
  <sheetData>
    <row r="1">
      <c r="A1" t="inlineStr">
        <is>
          <t>Scenario</t>
        </is>
      </c>
      <c r="B1">
        <f>'Executive Dashboard'!E4</f>
        <v/>
      </c>
    </row>
    <row r="4" ht="17" customHeight="1">
      <c r="A4" s="6" t="inlineStr">
        <is>
          <t>Revenue Assumptions</t>
        </is>
      </c>
    </row>
    <row r="5">
      <c r="B5" t="inlineStr">
        <is>
          <t>Base</t>
        </is>
      </c>
      <c r="C5" t="inlineStr">
        <is>
          <t>Bull</t>
        </is>
      </c>
      <c r="D5" t="inlineStr">
        <is>
          <t>Bear</t>
        </is>
      </c>
      <c r="E5" t="inlineStr">
        <is>
          <t>Selected</t>
        </is>
      </c>
    </row>
    <row r="6">
      <c r="A6" t="inlineStr">
        <is>
          <t>Store Growth %</t>
        </is>
      </c>
      <c r="B6" s="18" t="n">
        <v>0.025</v>
      </c>
      <c r="C6" s="18" t="n">
        <v>0.035</v>
      </c>
      <c r="D6" s="18" t="n">
        <v>0.015</v>
      </c>
      <c r="E6" s="18">
        <f>_xlfn.XLOOKUP($B$1,$B$5:$D$5,$B6:$D6)</f>
        <v/>
      </c>
    </row>
    <row r="7">
      <c r="A7" t="inlineStr">
        <is>
          <t>Comp Sales Growth %</t>
        </is>
      </c>
      <c r="B7" s="19" t="n">
        <v>0.03</v>
      </c>
      <c r="C7" s="19" t="n">
        <v>0.045</v>
      </c>
      <c r="D7" s="19" t="n">
        <v>0.015</v>
      </c>
      <c r="E7" s="19">
        <f>_xlfn.XLOOKUP($B$1,$B$5:$D$5,$B7:$D7)</f>
        <v/>
      </c>
    </row>
    <row r="9">
      <c r="A9" t="inlineStr">
        <is>
          <t xml:space="preserve">Cost Assumptions </t>
        </is>
      </c>
    </row>
    <row r="10">
      <c r="B10" t="inlineStr">
        <is>
          <t>Base</t>
        </is>
      </c>
      <c r="C10" t="inlineStr">
        <is>
          <t>Bull</t>
        </is>
      </c>
      <c r="D10" t="inlineStr">
        <is>
          <t>Bear</t>
        </is>
      </c>
      <c r="E10" t="inlineStr">
        <is>
          <t>Selected</t>
        </is>
      </c>
    </row>
    <row r="11">
      <c r="A11" t="inlineStr">
        <is>
          <t>COGS % of Revenue</t>
        </is>
      </c>
      <c r="B11" s="19" t="n">
        <v>0.885</v>
      </c>
      <c r="C11" s="19" t="n">
        <v>0.875</v>
      </c>
      <c r="D11" s="19" t="n">
        <v>0.89</v>
      </c>
      <c r="E11" s="19">
        <f>_xlfn.XLOOKUP($B$1,$B$10:$D$10,$B11:$D11)</f>
        <v/>
      </c>
    </row>
    <row r="12" ht="34" customHeight="1">
      <c r="A12" s="6" t="inlineStr">
        <is>
          <t>Operating Expenses % of Revenue</t>
        </is>
      </c>
      <c r="B12" s="19" t="n">
        <v>0.08</v>
      </c>
      <c r="C12" s="19" t="n">
        <v>0.075</v>
      </c>
      <c r="D12" s="19" t="n">
        <v>0.08500000000000001</v>
      </c>
      <c r="E12" s="19">
        <f>_xlfn.XLOOKUP($B$1,$B$10:$D$10,$B12:$D12)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16"/>
  <sheetViews>
    <sheetView zoomScale="70" zoomScaleNormal="70" workbookViewId="0">
      <selection activeCell="N50" sqref="N50"/>
    </sheetView>
  </sheetViews>
  <sheetFormatPr baseColWidth="10" defaultRowHeight="16"/>
  <cols>
    <col width="16.83203125" customWidth="1" style="58" min="1" max="1"/>
    <col width="15.83203125" customWidth="1" style="58" min="2" max="11"/>
    <col width="10.83203125" customWidth="1" style="58" min="12" max="16384"/>
  </cols>
  <sheetData>
    <row r="2">
      <c r="B2" s="58" t="inlineStr">
        <is>
          <t>2021A</t>
        </is>
      </c>
      <c r="C2" s="58" t="inlineStr">
        <is>
          <t>2022A</t>
        </is>
      </c>
      <c r="D2" s="58" t="inlineStr">
        <is>
          <t>2023A</t>
        </is>
      </c>
      <c r="E2" s="58" t="inlineStr">
        <is>
          <t>2024A</t>
        </is>
      </c>
      <c r="F2" s="58" t="inlineStr">
        <is>
          <t>2025A</t>
        </is>
      </c>
      <c r="G2" s="58" t="inlineStr">
        <is>
          <t>2026E</t>
        </is>
      </c>
      <c r="H2" s="58" t="inlineStr">
        <is>
          <t>2027E</t>
        </is>
      </c>
      <c r="I2" s="58" t="inlineStr">
        <is>
          <t>2028E</t>
        </is>
      </c>
      <c r="J2" s="58" t="inlineStr">
        <is>
          <t>2029E</t>
        </is>
      </c>
      <c r="K2" s="58" t="inlineStr">
        <is>
          <t>2030E</t>
        </is>
      </c>
    </row>
    <row r="4">
      <c r="A4" s="58" t="inlineStr">
        <is>
          <t>Revenue</t>
        </is>
      </c>
      <c r="B4" s="14">
        <f>'3-Statement Model'!B6</f>
        <v/>
      </c>
      <c r="C4" s="14">
        <f>'3-Statement Model'!C6</f>
        <v/>
      </c>
      <c r="D4" s="14">
        <f>'3-Statement Model'!D6</f>
        <v/>
      </c>
      <c r="E4" s="14">
        <f>'3-Statement Model'!E6</f>
        <v/>
      </c>
      <c r="F4" s="14">
        <f>'3-Statement Model'!F6</f>
        <v/>
      </c>
      <c r="G4" s="14">
        <f>'3-Statement Model'!G6</f>
        <v/>
      </c>
      <c r="H4" s="14">
        <f>'3-Statement Model'!H6</f>
        <v/>
      </c>
      <c r="I4" s="14">
        <f>'3-Statement Model'!I6</f>
        <v/>
      </c>
      <c r="J4" s="14">
        <f>'3-Statement Model'!J6</f>
        <v/>
      </c>
      <c r="K4" s="14">
        <f>'3-Statement Model'!K6</f>
        <v/>
      </c>
      <c r="L4" s="14" t="n"/>
      <c r="M4" s="14" t="n"/>
    </row>
    <row r="5">
      <c r="A5" s="58" t="inlineStr">
        <is>
          <t>COGS</t>
        </is>
      </c>
      <c r="B5" s="15">
        <f>'3-Statement Model'!B7</f>
        <v/>
      </c>
      <c r="C5" s="15">
        <f>'3-Statement Model'!C7</f>
        <v/>
      </c>
      <c r="D5" s="15">
        <f>'3-Statement Model'!D7</f>
        <v/>
      </c>
      <c r="E5" s="15">
        <f>'3-Statement Model'!E7</f>
        <v/>
      </c>
      <c r="F5" s="15">
        <f>'3-Statement Model'!F7</f>
        <v/>
      </c>
      <c r="G5" s="15">
        <f>'3-Statement Model'!G7</f>
        <v/>
      </c>
      <c r="H5" s="15">
        <f>'3-Statement Model'!H7</f>
        <v/>
      </c>
      <c r="I5" s="15">
        <f>'3-Statement Model'!I7</f>
        <v/>
      </c>
      <c r="J5" s="15">
        <f>'3-Statement Model'!J7</f>
        <v/>
      </c>
      <c r="K5" s="15">
        <f>'3-Statement Model'!K7</f>
        <v/>
      </c>
    </row>
    <row r="6">
      <c r="A6" s="58" t="inlineStr">
        <is>
          <t>Gross Profit</t>
        </is>
      </c>
      <c r="B6" s="14">
        <f>B4-B5</f>
        <v/>
      </c>
      <c r="C6" s="14">
        <f>C4-C5</f>
        <v/>
      </c>
      <c r="D6" s="14">
        <f>D4-D5</f>
        <v/>
      </c>
      <c r="E6" s="14">
        <f>E4-E5</f>
        <v/>
      </c>
      <c r="F6" s="14">
        <f>F4-F5</f>
        <v/>
      </c>
      <c r="G6" s="14">
        <f>G4-G5</f>
        <v/>
      </c>
      <c r="H6" s="14">
        <f>H4-H5</f>
        <v/>
      </c>
      <c r="I6" s="14">
        <f>I4-I5</f>
        <v/>
      </c>
      <c r="J6" s="14">
        <f>J4-J5</f>
        <v/>
      </c>
      <c r="K6" s="14">
        <f>K4-K5</f>
        <v/>
      </c>
    </row>
    <row r="7">
      <c r="A7" s="58" t="inlineStr">
        <is>
          <t>Operating Expenses</t>
        </is>
      </c>
      <c r="B7" s="15">
        <f>'3-Statement Model'!B9</f>
        <v/>
      </c>
      <c r="C7" s="15">
        <f>'3-Statement Model'!C9</f>
        <v/>
      </c>
      <c r="D7" s="15">
        <f>'3-Statement Model'!D9</f>
        <v/>
      </c>
      <c r="E7" s="15">
        <f>'3-Statement Model'!E9</f>
        <v/>
      </c>
      <c r="F7" s="15">
        <f>'3-Statement Model'!F9</f>
        <v/>
      </c>
      <c r="G7" s="15">
        <f>'3-Statement Model'!G9</f>
        <v/>
      </c>
      <c r="H7" s="15">
        <f>'3-Statement Model'!H9</f>
        <v/>
      </c>
      <c r="I7" s="15">
        <f>'3-Statement Model'!I9</f>
        <v/>
      </c>
      <c r="J7" s="15">
        <f>'3-Statement Model'!J9</f>
        <v/>
      </c>
      <c r="K7" s="15">
        <f>'3-Statement Model'!K9</f>
        <v/>
      </c>
    </row>
    <row r="8">
      <c r="A8" s="58" t="inlineStr">
        <is>
          <t>EBITDA</t>
        </is>
      </c>
      <c r="B8" s="14">
        <f>'3-Statement Model'!B10</f>
        <v/>
      </c>
      <c r="C8" s="14">
        <f>'3-Statement Model'!C10</f>
        <v/>
      </c>
      <c r="D8" s="14">
        <f>'3-Statement Model'!D10</f>
        <v/>
      </c>
      <c r="E8" s="14">
        <f>'3-Statement Model'!E10</f>
        <v/>
      </c>
      <c r="F8" s="14">
        <f>'3-Statement Model'!F10</f>
        <v/>
      </c>
      <c r="G8" s="14">
        <f>'3-Statement Model'!G10</f>
        <v/>
      </c>
      <c r="H8" s="14">
        <f>'3-Statement Model'!H10</f>
        <v/>
      </c>
      <c r="I8" s="14">
        <f>'3-Statement Model'!I10</f>
        <v/>
      </c>
      <c r="J8" s="14">
        <f>'3-Statement Model'!J10</f>
        <v/>
      </c>
      <c r="K8" s="14">
        <f>'3-Statement Model'!K10</f>
        <v/>
      </c>
    </row>
    <row r="9">
      <c r="A9" s="58" t="inlineStr">
        <is>
          <t>Gross Margin %</t>
        </is>
      </c>
      <c r="B9" s="35">
        <f>B6/B4</f>
        <v/>
      </c>
      <c r="C9" s="35">
        <f>C6/C4</f>
        <v/>
      </c>
      <c r="D9" s="35">
        <f>D6/D4</f>
        <v/>
      </c>
      <c r="E9" s="35">
        <f>E6/E4</f>
        <v/>
      </c>
      <c r="F9" s="35">
        <f>F6/F4</f>
        <v/>
      </c>
      <c r="G9" s="35">
        <f>G6/G4</f>
        <v/>
      </c>
      <c r="H9" s="35">
        <f>H6/H4</f>
        <v/>
      </c>
      <c r="I9" s="35">
        <f>I6/I4</f>
        <v/>
      </c>
      <c r="J9" s="35">
        <f>J6/J4</f>
        <v/>
      </c>
      <c r="K9" s="35">
        <f>K6/K4</f>
        <v/>
      </c>
    </row>
    <row r="10">
      <c r="A10" s="58" t="inlineStr">
        <is>
          <t>EBITDA %</t>
        </is>
      </c>
      <c r="B10" s="35">
        <f>B8/B4</f>
        <v/>
      </c>
      <c r="C10" s="35">
        <f>C8/C4</f>
        <v/>
      </c>
      <c r="D10" s="35">
        <f>D8/D4</f>
        <v/>
      </c>
      <c r="E10" s="35">
        <f>E8/E4</f>
        <v/>
      </c>
      <c r="F10" s="35">
        <f>F8/F4</f>
        <v/>
      </c>
      <c r="G10" s="35">
        <f>G8/G4</f>
        <v/>
      </c>
      <c r="H10" s="35">
        <f>H8/H4</f>
        <v/>
      </c>
      <c r="I10" s="35">
        <f>I8/I4</f>
        <v/>
      </c>
      <c r="J10" s="35">
        <f>J8/J4</f>
        <v/>
      </c>
      <c r="K10" s="35">
        <f>K8/K4</f>
        <v/>
      </c>
    </row>
    <row r="13" ht="34" customHeight="1">
      <c r="A13" s="11" t="inlineStr">
        <is>
          <t>Margin Bridge (2025A-2030E)</t>
        </is>
      </c>
    </row>
    <row r="14" ht="34" customHeight="1">
      <c r="A14" s="11" t="inlineStr">
        <is>
          <t>Gross Margin % change</t>
        </is>
      </c>
      <c r="B14" s="35">
        <f>K9-F9</f>
        <v/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</row>
    <row r="15">
      <c r="A15" s="58" t="inlineStr">
        <is>
          <t>OpEx % change</t>
        </is>
      </c>
      <c r="B15" s="35">
        <f>(-$K$7/$K$4)-(-$F$7/$F$4)</f>
        <v/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</row>
    <row r="16" ht="34" customHeight="1">
      <c r="A16" s="11" t="inlineStr">
        <is>
          <t>EBITDA Margin % change</t>
        </is>
      </c>
      <c r="B16" s="35">
        <f>$K$10-$F$10</f>
        <v/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44"/>
  <sheetViews>
    <sheetView zoomScale="70" zoomScaleNormal="70" workbookViewId="0">
      <selection activeCell="D6" sqref="D6"/>
    </sheetView>
  </sheetViews>
  <sheetFormatPr baseColWidth="10" defaultRowHeight="16"/>
  <cols>
    <col width="19.83203125" customWidth="1" style="58" min="1" max="1"/>
    <col width="15.83203125" customWidth="1" style="58" min="2" max="11"/>
    <col width="10.83203125" customWidth="1" style="58" min="12" max="16384"/>
  </cols>
  <sheetData>
    <row r="2">
      <c r="A2" s="58" t="inlineStr">
        <is>
          <t>Year</t>
        </is>
      </c>
      <c r="B2" s="58" t="inlineStr">
        <is>
          <t>2021A</t>
        </is>
      </c>
      <c r="C2" s="58" t="inlineStr">
        <is>
          <t>2022A</t>
        </is>
      </c>
      <c r="D2" s="58" t="inlineStr">
        <is>
          <t>2023A</t>
        </is>
      </c>
      <c r="E2" s="58" t="inlineStr">
        <is>
          <t>2024A</t>
        </is>
      </c>
      <c r="F2" s="58" t="inlineStr">
        <is>
          <t>2025A</t>
        </is>
      </c>
      <c r="G2" s="58" t="inlineStr">
        <is>
          <t>2026E</t>
        </is>
      </c>
      <c r="H2" s="58" t="inlineStr">
        <is>
          <t>2027E</t>
        </is>
      </c>
      <c r="I2" s="58" t="inlineStr">
        <is>
          <t>2028E</t>
        </is>
      </c>
      <c r="J2" s="58" t="inlineStr">
        <is>
          <t>2029E</t>
        </is>
      </c>
      <c r="K2" s="58" t="inlineStr">
        <is>
          <t>2030E</t>
        </is>
      </c>
    </row>
    <row r="4">
      <c r="A4" s="1" t="inlineStr">
        <is>
          <t>Income Statement</t>
        </is>
      </c>
    </row>
    <row r="6" ht="16" customHeight="1">
      <c r="A6" s="58" t="inlineStr">
        <is>
          <t>Revenue</t>
        </is>
      </c>
      <c r="B6" s="36">
        <f>'Revenue Model'!B38</f>
        <v/>
      </c>
      <c r="C6" s="36">
        <f>'Revenue Model'!C38</f>
        <v/>
      </c>
      <c r="D6" s="36">
        <f>'Revenue Model'!D38</f>
        <v/>
      </c>
      <c r="E6" s="36">
        <f>'Revenue Model'!E38</f>
        <v/>
      </c>
      <c r="F6" s="36">
        <f>'Revenue Model'!F38</f>
        <v/>
      </c>
      <c r="G6" s="36">
        <f>'Revenue Model'!G38</f>
        <v/>
      </c>
      <c r="H6" s="36">
        <f>'Revenue Model'!H38</f>
        <v/>
      </c>
      <c r="I6" s="36">
        <f>'Revenue Model'!I38</f>
        <v/>
      </c>
      <c r="J6" s="36">
        <f>'Revenue Model'!J38</f>
        <v/>
      </c>
      <c r="K6" s="36">
        <f>'Revenue Model'!K38</f>
        <v/>
      </c>
    </row>
    <row r="7">
      <c r="A7" s="58" t="inlineStr">
        <is>
          <t>COGS</t>
        </is>
      </c>
      <c r="B7" s="37">
        <f>'Historical Finances'!B6</f>
        <v/>
      </c>
      <c r="C7" s="15">
        <f>'Historical Finances'!C6</f>
        <v/>
      </c>
      <c r="D7" s="15">
        <f>'Historical Finances'!D6</f>
        <v/>
      </c>
      <c r="E7" s="15">
        <f>'Historical Finances'!E6</f>
        <v/>
      </c>
      <c r="F7" s="15">
        <f>'Historical Finances'!F6</f>
        <v/>
      </c>
      <c r="G7" s="15">
        <f>G6 * Assumptions!$B$14</f>
        <v/>
      </c>
      <c r="H7" s="15">
        <f>H6 * Assumptions!$B$14</f>
        <v/>
      </c>
      <c r="I7" s="15">
        <f>I6 * Assumptions!$B$14</f>
        <v/>
      </c>
      <c r="J7" s="15">
        <f>J6 * Assumptions!$B$14</f>
        <v/>
      </c>
      <c r="K7" s="15">
        <f>K6 * Assumptions!$B$14</f>
        <v/>
      </c>
    </row>
    <row r="8">
      <c r="A8" s="58" t="inlineStr">
        <is>
          <t>Gross Profit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  <c r="G8" s="14">
        <f>G6-G7</f>
        <v/>
      </c>
      <c r="H8" s="14">
        <f>H6-H7</f>
        <v/>
      </c>
      <c r="I8" s="14">
        <f>I6-I7</f>
        <v/>
      </c>
      <c r="J8" s="14">
        <f>J6-J7</f>
        <v/>
      </c>
      <c r="K8" s="14">
        <f>K6-K7</f>
        <v/>
      </c>
    </row>
    <row r="9">
      <c r="A9" s="58" t="inlineStr">
        <is>
          <t>Operating Expenses</t>
        </is>
      </c>
      <c r="B9" s="15">
        <f>B6*Opex_Pct</f>
        <v/>
      </c>
      <c r="C9" s="15">
        <f>'Historical Finances'!C8</f>
        <v/>
      </c>
      <c r="D9" s="15">
        <f>'Historical Finances'!D8</f>
        <v/>
      </c>
      <c r="E9" s="15">
        <f>'Historical Finances'!E8</f>
        <v/>
      </c>
      <c r="F9" s="15">
        <f>'Historical Finances'!F8</f>
        <v/>
      </c>
      <c r="G9" s="15">
        <f>G6*Opex_Pct</f>
        <v/>
      </c>
      <c r="H9" s="15">
        <f>H6*Opex_Pct</f>
        <v/>
      </c>
      <c r="I9" s="15">
        <f>I6*Opex_Pct</f>
        <v/>
      </c>
      <c r="J9" s="15">
        <f>J6*Opex_Pct</f>
        <v/>
      </c>
      <c r="K9" s="15">
        <f>K6*Opex_Pct</f>
        <v/>
      </c>
    </row>
    <row r="10">
      <c r="A10" s="58" t="inlineStr">
        <is>
          <t>EBITDA</t>
        </is>
      </c>
      <c r="B10" s="14">
        <f>B8-B9</f>
        <v/>
      </c>
      <c r="C10" s="14">
        <f>C8-C9</f>
        <v/>
      </c>
      <c r="D10" s="14">
        <f>D8-D9</f>
        <v/>
      </c>
      <c r="E10" s="14">
        <f>E8-E9</f>
        <v/>
      </c>
      <c r="F10" s="14">
        <f>F8-F9</f>
        <v/>
      </c>
      <c r="G10" s="14">
        <f>G8-G9</f>
        <v/>
      </c>
      <c r="H10" s="14">
        <f>H8-H9</f>
        <v/>
      </c>
      <c r="I10" s="14">
        <f>I8-I9</f>
        <v/>
      </c>
      <c r="J10" s="14">
        <f>J8-J9</f>
        <v/>
      </c>
      <c r="K10" s="14">
        <f>K8-K9</f>
        <v/>
      </c>
    </row>
    <row r="11" ht="34" customHeight="1">
      <c r="A11" s="11" t="inlineStr">
        <is>
          <t>Depreciation &amp; Amortization</t>
        </is>
      </c>
      <c r="B11" s="15">
        <f>B6 * Assumptions!$B$20</f>
        <v/>
      </c>
      <c r="C11" s="15">
        <f>C6 * Assumptions!$B$20</f>
        <v/>
      </c>
      <c r="D11" s="15">
        <f>D6 * Assumptions!$B$20</f>
        <v/>
      </c>
      <c r="E11" s="15">
        <f>E6 * Assumptions!$B$20</f>
        <v/>
      </c>
      <c r="F11" s="15">
        <f>F6 * Assumptions!$B$20</f>
        <v/>
      </c>
      <c r="G11" s="15">
        <f>G6 * Assumptions!$B$20</f>
        <v/>
      </c>
      <c r="H11" s="15">
        <f>H6 * Assumptions!$B$20</f>
        <v/>
      </c>
      <c r="I11" s="15">
        <f>I6 * Assumptions!$B$20</f>
        <v/>
      </c>
      <c r="J11" s="15">
        <f>J6 * Assumptions!$B$20</f>
        <v/>
      </c>
      <c r="K11" s="15">
        <f>K6 * Assumptions!$B$20</f>
        <v/>
      </c>
    </row>
    <row r="12">
      <c r="A12" s="58" t="inlineStr">
        <is>
          <t>EBIT</t>
        </is>
      </c>
      <c r="B12" s="14">
        <f>B10-B11</f>
        <v/>
      </c>
      <c r="C12" s="14">
        <f>C10-C11</f>
        <v/>
      </c>
      <c r="D12" s="14">
        <f>D10-D11</f>
        <v/>
      </c>
      <c r="E12" s="14">
        <f>E10-E11</f>
        <v/>
      </c>
      <c r="F12" s="14">
        <f>F10-F11</f>
        <v/>
      </c>
      <c r="G12" s="14">
        <f>G10-G11</f>
        <v/>
      </c>
      <c r="H12" s="14">
        <f>H10-H11</f>
        <v/>
      </c>
      <c r="I12" s="14">
        <f>I10-I11</f>
        <v/>
      </c>
      <c r="J12" s="14">
        <f>J10-J11</f>
        <v/>
      </c>
      <c r="K12" s="14">
        <f>K10-K11</f>
        <v/>
      </c>
    </row>
    <row r="13">
      <c r="A13" s="58" t="inlineStr">
        <is>
          <t>Taxes</t>
        </is>
      </c>
      <c r="B13" s="15">
        <f>IF(B12&gt;0, B12 * Assumptions!$B$19, 0)</f>
        <v/>
      </c>
      <c r="C13" s="15">
        <f>IF(C12&gt;0, C12 * Assumptions!$B$19, 0)</f>
        <v/>
      </c>
      <c r="D13" s="15">
        <f>IF(D12&gt;0, D12 * Assumptions!$B$19, 0)</f>
        <v/>
      </c>
      <c r="E13" s="15">
        <f>IF(E12&gt;0, E12 * Assumptions!$B$19, 0)</f>
        <v/>
      </c>
      <c r="F13" s="15">
        <f>IF(F12&gt;0, F12 * Assumptions!$B$19, 0)</f>
        <v/>
      </c>
      <c r="G13" s="15">
        <f>IF(G12&gt;0, G12 * Assumptions!$B$19, 0)</f>
        <v/>
      </c>
      <c r="H13" s="15">
        <f>IF(H12&gt;0, H12 * Assumptions!$B$19, 0)</f>
        <v/>
      </c>
      <c r="I13" s="15">
        <f>IF(I12&gt;0, I12 * Assumptions!$B$19, 0)</f>
        <v/>
      </c>
      <c r="J13" s="15">
        <f>IF(J12&gt;0, J12 * Assumptions!$B$19, 0)</f>
        <v/>
      </c>
      <c r="K13" s="15">
        <f>IF(K12&gt;0, K12 * Assumptions!$B$19, 0)</f>
        <v/>
      </c>
    </row>
    <row r="14">
      <c r="A14" s="58" t="inlineStr">
        <is>
          <t>Net Income</t>
        </is>
      </c>
      <c r="B14" s="14">
        <f>B12-B13</f>
        <v/>
      </c>
      <c r="C14" s="14">
        <f>C12-C13</f>
        <v/>
      </c>
      <c r="D14" s="14">
        <f>D12-D13</f>
        <v/>
      </c>
      <c r="E14" s="14">
        <f>E12-E13</f>
        <v/>
      </c>
      <c r="F14" s="14">
        <f>F12-F13</f>
        <v/>
      </c>
      <c r="G14" s="14">
        <f>G12-G13</f>
        <v/>
      </c>
      <c r="H14" s="14">
        <f>H12-H13</f>
        <v/>
      </c>
      <c r="I14" s="14">
        <f>I12-I13</f>
        <v/>
      </c>
      <c r="J14" s="14">
        <f>J12-J13</f>
        <v/>
      </c>
      <c r="K14" s="14">
        <f>K12-K13</f>
        <v/>
      </c>
    </row>
    <row r="17">
      <c r="A17" s="1" t="inlineStr">
        <is>
          <t>Cash Flow Statement</t>
        </is>
      </c>
    </row>
    <row r="19">
      <c r="A19" s="58" t="inlineStr">
        <is>
          <t>Net Income</t>
        </is>
      </c>
      <c r="B19" s="14">
        <f>B14</f>
        <v/>
      </c>
      <c r="C19" s="14">
        <f>C14</f>
        <v/>
      </c>
      <c r="D19" s="14">
        <f>D14</f>
        <v/>
      </c>
      <c r="E19" s="14">
        <f>E14</f>
        <v/>
      </c>
      <c r="F19" s="14">
        <f>F14</f>
        <v/>
      </c>
      <c r="G19" s="14">
        <f>G14</f>
        <v/>
      </c>
      <c r="H19" s="14">
        <f>H14</f>
        <v/>
      </c>
      <c r="I19" s="14">
        <f>I14</f>
        <v/>
      </c>
      <c r="J19" s="14">
        <f>J14</f>
        <v/>
      </c>
      <c r="K19" s="14">
        <f>K14</f>
        <v/>
      </c>
    </row>
    <row r="20" ht="34" customHeight="1">
      <c r="A20" s="11" t="inlineStr">
        <is>
          <t>Depreciation &amp; Amortization</t>
        </is>
      </c>
      <c r="B20" s="15">
        <f>B11</f>
        <v/>
      </c>
      <c r="C20" s="15">
        <f>C11</f>
        <v/>
      </c>
      <c r="D20" s="15">
        <f>D11</f>
        <v/>
      </c>
      <c r="E20" s="15">
        <f>E11</f>
        <v/>
      </c>
      <c r="F20" s="15">
        <f>F11</f>
        <v/>
      </c>
      <c r="G20" s="15">
        <f>G11</f>
        <v/>
      </c>
      <c r="H20" s="15">
        <f>H11</f>
        <v/>
      </c>
      <c r="I20" s="15">
        <f>I11</f>
        <v/>
      </c>
      <c r="J20" s="15">
        <f>J11</f>
        <v/>
      </c>
      <c r="K20" s="15">
        <f>K11</f>
        <v/>
      </c>
    </row>
    <row r="21" ht="34" customHeight="1">
      <c r="A21" s="11" t="inlineStr">
        <is>
          <t>Change in Working Capital</t>
        </is>
      </c>
      <c r="B21" s="58">
        <f>0</f>
        <v/>
      </c>
      <c r="C21" s="15">
        <f>(C$6-B$6)*Assumptions!$B$22</f>
        <v/>
      </c>
      <c r="D21" s="15">
        <f>(D$6-C$6)*Assumptions!$B$22</f>
        <v/>
      </c>
      <c r="E21" s="15">
        <f>(E$6-D$6)*Assumptions!$B$22</f>
        <v/>
      </c>
      <c r="F21" s="15">
        <f>(F$6-E$6)*Assumptions!$B$22</f>
        <v/>
      </c>
      <c r="G21" s="15">
        <f>(G$6-F$6)*Assumptions!$B$22</f>
        <v/>
      </c>
      <c r="H21" s="15">
        <f>(H$6-G$6)*Assumptions!$B$22</f>
        <v/>
      </c>
      <c r="I21" s="15">
        <f>(I$6-H$6)*Assumptions!$B$22</f>
        <v/>
      </c>
      <c r="J21" s="15">
        <f>(J$6-I$6)*Assumptions!$B$22</f>
        <v/>
      </c>
      <c r="K21" s="15">
        <f>(K$6-J$6)*Assumptions!$B$22</f>
        <v/>
      </c>
    </row>
    <row r="22" ht="34" customHeight="1">
      <c r="A22" s="11" t="inlineStr">
        <is>
          <t>Cash Flow from Operations (CFO)</t>
        </is>
      </c>
      <c r="B22" s="14">
        <f>B19+B20-B21</f>
        <v/>
      </c>
      <c r="C22" s="14">
        <f>C19+C20-C21</f>
        <v/>
      </c>
      <c r="D22" s="14">
        <f>D19+D20-D21</f>
        <v/>
      </c>
      <c r="E22" s="14">
        <f>E19+E20-E21</f>
        <v/>
      </c>
      <c r="F22" s="14">
        <f>F19+F20-F21</f>
        <v/>
      </c>
      <c r="G22" s="14">
        <f>G19+G20-G21</f>
        <v/>
      </c>
      <c r="H22" s="14">
        <f>H19+H20-H21</f>
        <v/>
      </c>
      <c r="I22" s="14">
        <f>I19+I20-I21</f>
        <v/>
      </c>
      <c r="J22" s="14">
        <f>J19+J20-J21</f>
        <v/>
      </c>
      <c r="K22" s="14">
        <f>K19+K20-K21</f>
        <v/>
      </c>
    </row>
    <row r="24">
      <c r="A24" s="58" t="inlineStr">
        <is>
          <t>CapEx</t>
        </is>
      </c>
      <c r="B24" s="58" t="n">
        <v>0</v>
      </c>
      <c r="C24" s="58" t="n">
        <v>0</v>
      </c>
      <c r="D24" s="58" t="n">
        <v>0</v>
      </c>
      <c r="E24" s="58" t="n">
        <v>0</v>
      </c>
      <c r="F24" s="58" t="n">
        <v>0</v>
      </c>
      <c r="G24" s="15">
        <f>-G$6*Assumptions!$B$21</f>
        <v/>
      </c>
      <c r="H24" s="15">
        <f>-H$6*Assumptions!$B$21</f>
        <v/>
      </c>
      <c r="I24" s="15">
        <f>-I$6*Assumptions!$B$21</f>
        <v/>
      </c>
      <c r="J24" s="15">
        <f>-J$6*Assumptions!$B$21</f>
        <v/>
      </c>
      <c r="K24" s="15">
        <f>-K$6*Assumptions!$B$21</f>
        <v/>
      </c>
    </row>
    <row r="25" ht="34" customHeight="1">
      <c r="A25" s="11" t="inlineStr">
        <is>
          <t>Cash Flow from Investing (CFI)</t>
        </is>
      </c>
      <c r="B25" s="58">
        <f>B24</f>
        <v/>
      </c>
      <c r="C25" s="58">
        <f>C24</f>
        <v/>
      </c>
      <c r="D25" s="58">
        <f>D24</f>
        <v/>
      </c>
      <c r="E25" s="58">
        <f>E24</f>
        <v/>
      </c>
      <c r="F25" s="58">
        <f>F24</f>
        <v/>
      </c>
      <c r="G25" s="15">
        <f>G24</f>
        <v/>
      </c>
      <c r="H25" s="15">
        <f>H24</f>
        <v/>
      </c>
      <c r="I25" s="15">
        <f>I24</f>
        <v/>
      </c>
      <c r="J25" s="15">
        <f>J24</f>
        <v/>
      </c>
      <c r="K25" s="15">
        <f>K24</f>
        <v/>
      </c>
    </row>
    <row r="27">
      <c r="A27" s="58" t="inlineStr">
        <is>
          <t>Net Change in cash</t>
        </is>
      </c>
      <c r="B27" s="14">
        <f>B22+B25</f>
        <v/>
      </c>
      <c r="C27" s="14">
        <f>C22+C25</f>
        <v/>
      </c>
      <c r="D27" s="14">
        <f>D22+D25</f>
        <v/>
      </c>
      <c r="E27" s="14">
        <f>E22+E25</f>
        <v/>
      </c>
      <c r="F27" s="14">
        <f>F22+F25</f>
        <v/>
      </c>
      <c r="G27" s="14">
        <f>G22+G25</f>
        <v/>
      </c>
      <c r="H27" s="14">
        <f>H22+H25</f>
        <v/>
      </c>
      <c r="I27" s="14">
        <f>I22+I25</f>
        <v/>
      </c>
      <c r="J27" s="14">
        <f>J22+J25</f>
        <v/>
      </c>
      <c r="K27" s="14">
        <f>K22+K25</f>
        <v/>
      </c>
    </row>
    <row r="29">
      <c r="A29" s="58" t="inlineStr">
        <is>
          <t>Beginning Cash</t>
        </is>
      </c>
      <c r="B29" s="14">
        <f>'Historical Finances'!B21</f>
        <v/>
      </c>
      <c r="C29" s="14">
        <f>'Historical Finances'!C21</f>
        <v/>
      </c>
      <c r="D29" s="14">
        <f>'Historical Finances'!D21</f>
        <v/>
      </c>
      <c r="E29" s="14">
        <f>'Historical Finances'!E21</f>
        <v/>
      </c>
      <c r="F29" s="14">
        <f>'Historical Finances'!F21</f>
        <v/>
      </c>
      <c r="G29" s="14">
        <f>F30</f>
        <v/>
      </c>
      <c r="H29" s="14">
        <f>G30</f>
        <v/>
      </c>
      <c r="I29" s="14">
        <f>H30</f>
        <v/>
      </c>
      <c r="J29" s="14">
        <f>I30</f>
        <v/>
      </c>
      <c r="K29" s="14">
        <f>J30</f>
        <v/>
      </c>
    </row>
    <row r="30">
      <c r="A30" s="58" t="inlineStr">
        <is>
          <t>Ending Cash</t>
        </is>
      </c>
      <c r="B30" s="14">
        <f>'Historical Finances'!B21</f>
        <v/>
      </c>
      <c r="C30" s="14">
        <f>'Historical Finances'!C21</f>
        <v/>
      </c>
      <c r="D30" s="14">
        <f>'Historical Finances'!D21</f>
        <v/>
      </c>
      <c r="E30" s="14">
        <f>'Historical Finances'!E21</f>
        <v/>
      </c>
      <c r="F30" s="14">
        <f>'Historical Finances'!F21</f>
        <v/>
      </c>
      <c r="G30" s="14">
        <f>G29+G27</f>
        <v/>
      </c>
      <c r="H30" s="14">
        <f>H29+H27</f>
        <v/>
      </c>
      <c r="I30" s="14">
        <f>I29+I27</f>
        <v/>
      </c>
      <c r="J30" s="14">
        <f>J29+J27</f>
        <v/>
      </c>
      <c r="K30" s="14">
        <f>K29+K27</f>
        <v/>
      </c>
    </row>
    <row r="32">
      <c r="A32" s="58" t="inlineStr">
        <is>
          <t>Free Cash Flow (FCFF)</t>
        </is>
      </c>
      <c r="G32" s="14">
        <f>'DCF Valuation'!B28</f>
        <v/>
      </c>
      <c r="H32" s="14">
        <f>'DCF Valuation'!C28</f>
        <v/>
      </c>
      <c r="I32" s="14">
        <f>'DCF Valuation'!D28</f>
        <v/>
      </c>
      <c r="J32" s="14">
        <f>'DCF Valuation'!E28</f>
        <v/>
      </c>
      <c r="K32" s="14">
        <f>'DCF Valuation'!F28</f>
        <v/>
      </c>
    </row>
    <row r="34">
      <c r="A34" s="1" t="inlineStr">
        <is>
          <t>Balance Sheet</t>
        </is>
      </c>
    </row>
    <row r="36">
      <c r="A36" s="58" t="inlineStr">
        <is>
          <t>Cash</t>
        </is>
      </c>
      <c r="B36" s="14">
        <f>B30</f>
        <v/>
      </c>
      <c r="C36" s="14">
        <f>C30</f>
        <v/>
      </c>
      <c r="D36" s="14">
        <f>D30</f>
        <v/>
      </c>
      <c r="E36" s="14">
        <f>E30</f>
        <v/>
      </c>
      <c r="F36" s="14">
        <f>F30</f>
        <v/>
      </c>
      <c r="G36" s="14">
        <f>G30</f>
        <v/>
      </c>
      <c r="H36" s="14">
        <f>H30</f>
        <v/>
      </c>
      <c r="I36" s="14">
        <f>I30</f>
        <v/>
      </c>
      <c r="J36" s="14">
        <f>J30</f>
        <v/>
      </c>
      <c r="K36" s="14">
        <f>K30</f>
        <v/>
      </c>
    </row>
    <row r="37">
      <c r="A37" s="58" t="inlineStr">
        <is>
          <t>Net Working Capital</t>
        </is>
      </c>
      <c r="B37" s="58">
        <f>0</f>
        <v/>
      </c>
      <c r="C37" s="58">
        <f>0</f>
        <v/>
      </c>
      <c r="D37" s="58">
        <f>0</f>
        <v/>
      </c>
      <c r="E37" s="58">
        <f>0</f>
        <v/>
      </c>
      <c r="F37" s="58">
        <f>0</f>
        <v/>
      </c>
      <c r="G37" s="15">
        <f>G$6*Assumptions!$B$22</f>
        <v/>
      </c>
      <c r="H37" s="15">
        <f>H$6*Assumptions!$B$22</f>
        <v/>
      </c>
      <c r="I37" s="15">
        <f>I$6*Assumptions!$B$22</f>
        <v/>
      </c>
      <c r="J37" s="15">
        <f>J$6*Assumptions!$B$22</f>
        <v/>
      </c>
      <c r="K37" s="15">
        <f>K$6*Assumptions!$B$22</f>
        <v/>
      </c>
    </row>
    <row r="38">
      <c r="A38" s="58" t="inlineStr">
        <is>
          <t>PP&amp;E (Net)</t>
        </is>
      </c>
      <c r="B38" s="14">
        <f>'Historical Finances'!B28</f>
        <v/>
      </c>
      <c r="C38" s="14">
        <f>'Historical Finances'!C28</f>
        <v/>
      </c>
      <c r="D38" s="14">
        <f>'Historical Finances'!D28</f>
        <v/>
      </c>
      <c r="E38" s="14">
        <f>'Historical Finances'!E28</f>
        <v/>
      </c>
      <c r="F38" s="14">
        <f>'Historical Finances'!F28</f>
        <v/>
      </c>
      <c r="G38" s="14">
        <f>F38 + G24 - G11</f>
        <v/>
      </c>
      <c r="H38" s="14">
        <f>G38 + H24 - H11</f>
        <v/>
      </c>
      <c r="I38" s="14">
        <f>H38 + I24 - I11</f>
        <v/>
      </c>
      <c r="J38" s="14">
        <f>I38 + J24 - J11</f>
        <v/>
      </c>
      <c r="K38" s="14">
        <f>J38 + K24 - K11</f>
        <v/>
      </c>
    </row>
    <row r="39">
      <c r="A39" s="58" t="inlineStr">
        <is>
          <t>Total Assets</t>
        </is>
      </c>
      <c r="B39" s="14">
        <f>B36+B37+B38</f>
        <v/>
      </c>
      <c r="C39" s="14">
        <f>C36+C37+C38</f>
        <v/>
      </c>
      <c r="D39" s="14">
        <f>D36+D37+D38</f>
        <v/>
      </c>
      <c r="E39" s="14">
        <f>E36+E37+E38</f>
        <v/>
      </c>
      <c r="F39" s="14">
        <f>F36+F37+F38</f>
        <v/>
      </c>
      <c r="G39" s="14">
        <f>G36+G37+G38</f>
        <v/>
      </c>
      <c r="H39" s="14">
        <f>H36+H37+H38</f>
        <v/>
      </c>
      <c r="I39" s="14">
        <f>I36+I37+I38</f>
        <v/>
      </c>
      <c r="J39" s="14">
        <f>J36+J37+J38</f>
        <v/>
      </c>
      <c r="K39" s="14">
        <f>K36+K37+K38</f>
        <v/>
      </c>
    </row>
    <row r="41">
      <c r="A41" s="58" t="inlineStr">
        <is>
          <t>Total Debt</t>
        </is>
      </c>
      <c r="B41" s="14">
        <f>'Historical Finances'!B38 + 'Historical Finances'!B40</f>
        <v/>
      </c>
      <c r="C41" s="14">
        <f>'Historical Finances'!C38 + 'Historical Finances'!C40</f>
        <v/>
      </c>
      <c r="D41" s="14">
        <f>'Historical Finances'!D38 + 'Historical Finances'!D40</f>
        <v/>
      </c>
      <c r="E41" s="14">
        <f>'Historical Finances'!E38 + 'Historical Finances'!E40</f>
        <v/>
      </c>
      <c r="F41" s="14">
        <f>'Historical Finances'!F38 + 'Historical Finances'!F40</f>
        <v/>
      </c>
      <c r="G41" s="14">
        <f>$F$41</f>
        <v/>
      </c>
      <c r="H41" s="14">
        <f>$F$41</f>
        <v/>
      </c>
      <c r="I41" s="14">
        <f>$F$41</f>
        <v/>
      </c>
      <c r="J41" s="14">
        <f>$F$41</f>
        <v/>
      </c>
      <c r="K41" s="14">
        <f>$F$41</f>
        <v/>
      </c>
    </row>
    <row r="42">
      <c r="A42" s="58" t="inlineStr">
        <is>
          <t>Equity (Plug)</t>
        </is>
      </c>
      <c r="B42" s="14">
        <f>B39-B41</f>
        <v/>
      </c>
      <c r="C42" s="14">
        <f>C39-C41</f>
        <v/>
      </c>
      <c r="D42" s="14">
        <f>D39-D41</f>
        <v/>
      </c>
      <c r="E42" s="14">
        <f>E39-E41</f>
        <v/>
      </c>
      <c r="F42" s="14">
        <f>F39-F41</f>
        <v/>
      </c>
      <c r="G42" s="14">
        <f>G39-G41</f>
        <v/>
      </c>
      <c r="H42" s="14">
        <f>H39-H41</f>
        <v/>
      </c>
      <c r="I42" s="14">
        <f>I39-I41</f>
        <v/>
      </c>
      <c r="J42" s="14">
        <f>J39-J41</f>
        <v/>
      </c>
      <c r="K42" s="14">
        <f>K39-K41</f>
        <v/>
      </c>
    </row>
    <row r="43" ht="34" customHeight="1">
      <c r="A43" s="11" t="inlineStr">
        <is>
          <t>Total Liabilities &amp; Equity</t>
        </is>
      </c>
      <c r="B43" s="14">
        <f>B41+B42</f>
        <v/>
      </c>
      <c r="C43" s="14">
        <f>C41+C42</f>
        <v/>
      </c>
      <c r="D43" s="14">
        <f>D41+D42</f>
        <v/>
      </c>
      <c r="E43" s="14">
        <f>E41+E42</f>
        <v/>
      </c>
      <c r="F43" s="14">
        <f>F41+F42</f>
        <v/>
      </c>
      <c r="G43" s="14">
        <f>G41+G42</f>
        <v/>
      </c>
      <c r="H43" s="14">
        <f>H41+H42</f>
        <v/>
      </c>
      <c r="I43" s="14">
        <f>I41+I42</f>
        <v/>
      </c>
      <c r="J43" s="14">
        <f>J41+J42</f>
        <v/>
      </c>
      <c r="K43" s="14">
        <f>K41+K42</f>
        <v/>
      </c>
    </row>
    <row r="44" ht="34" customHeight="1">
      <c r="A44" s="11" t="inlineStr">
        <is>
          <t>Balance Check (Assets - L&amp;E)</t>
        </is>
      </c>
      <c r="B44" s="14">
        <f>B39-B43</f>
        <v/>
      </c>
      <c r="C44" s="14">
        <f>C39-C43</f>
        <v/>
      </c>
      <c r="D44" s="14">
        <f>D39-D43</f>
        <v/>
      </c>
      <c r="E44" s="14">
        <f>E39-E43</f>
        <v/>
      </c>
      <c r="F44" s="14">
        <f>F39-F43</f>
        <v/>
      </c>
      <c r="G44" s="14">
        <f>G39-G43</f>
        <v/>
      </c>
      <c r="H44" s="14">
        <f>H39-H43</f>
        <v/>
      </c>
      <c r="I44" s="14">
        <f>I39-I43</f>
        <v/>
      </c>
      <c r="J44" s="14">
        <f>J39-J43</f>
        <v/>
      </c>
      <c r="K44" s="14">
        <f>K39-K43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zoomScaleNormal="100" workbookViewId="0">
      <pane ySplit="1" topLeftCell="A24" activePane="bottomLeft" state="frozen"/>
      <selection pane="bottomLeft" activeCell="B22" sqref="B22"/>
    </sheetView>
  </sheetViews>
  <sheetFormatPr baseColWidth="10" defaultRowHeight="16"/>
  <cols>
    <col width="24.83203125" customWidth="1" style="58" min="1" max="1"/>
    <col width="12" bestFit="1" customWidth="1" style="58" min="2" max="2"/>
    <col width="10.83203125" customWidth="1" style="58" min="3" max="16384"/>
  </cols>
  <sheetData>
    <row r="1">
      <c r="A1" s="1" t="inlineStr">
        <is>
          <t>DCF Valuation (FCFF)</t>
        </is>
      </c>
    </row>
    <row r="3">
      <c r="A3" s="58" t="inlineStr">
        <is>
          <t>Risk-Free Rate</t>
        </is>
      </c>
      <c r="B3" s="29">
        <f>Assumptions!B25</f>
        <v/>
      </c>
    </row>
    <row r="4">
      <c r="A4" s="58" t="inlineStr">
        <is>
          <t>Market Risk Premium</t>
        </is>
      </c>
      <c r="B4" s="29">
        <f>Assumptions!B26</f>
        <v/>
      </c>
    </row>
    <row r="5">
      <c r="A5" s="58" t="inlineStr">
        <is>
          <t>Beta</t>
        </is>
      </c>
      <c r="B5" s="46">
        <f>Assumptions!B27</f>
        <v/>
      </c>
    </row>
    <row r="6">
      <c r="A6" s="58" t="inlineStr">
        <is>
          <t>Cost of Equity</t>
        </is>
      </c>
      <c r="B6" s="29">
        <f>B3+(B5*B4)</f>
        <v/>
      </c>
      <c r="C6" s="59" t="n"/>
      <c r="F6" s="29" t="n"/>
    </row>
    <row r="7">
      <c r="A7" s="58" t="inlineStr">
        <is>
          <t>Cost of Debt</t>
        </is>
      </c>
      <c r="B7" s="29">
        <f>Assumptions!B28</f>
        <v/>
      </c>
      <c r="C7" s="59" t="n"/>
      <c r="F7" s="29" t="n"/>
    </row>
    <row r="8" ht="15" customHeight="1">
      <c r="A8" s="58" t="inlineStr">
        <is>
          <t>Tax Rate</t>
        </is>
      </c>
      <c r="B8" s="29">
        <f>Assumptions!B19</f>
        <v/>
      </c>
    </row>
    <row r="9">
      <c r="A9" s="58" t="inlineStr">
        <is>
          <t>After-Tax Cost of Debt</t>
        </is>
      </c>
      <c r="B9" s="29">
        <f>B7*(1-B8)</f>
        <v/>
      </c>
    </row>
    <row r="10">
      <c r="A10" s="58" t="inlineStr">
        <is>
          <t>Debt Weight</t>
        </is>
      </c>
      <c r="B10" s="29" t="n">
        <v>0.2</v>
      </c>
    </row>
    <row r="11">
      <c r="A11" s="58" t="inlineStr">
        <is>
          <t>Equity Weight</t>
        </is>
      </c>
      <c r="B11" s="29" t="n">
        <v>0.8</v>
      </c>
    </row>
    <row r="12">
      <c r="A12" s="1" t="inlineStr">
        <is>
          <t>WACC</t>
        </is>
      </c>
      <c r="B12" s="29">
        <f>(B10*B9)+(B11*B6)</f>
        <v/>
      </c>
      <c r="E12" s="59" t="inlineStr">
        <is>
          <t>WACC Input (for sensitivity)</t>
        </is>
      </c>
      <c r="H12" s="29">
        <f>Sensitivity!B3</f>
        <v/>
      </c>
    </row>
    <row r="13">
      <c r="A13" s="58" t="inlineStr">
        <is>
          <t>Terminal Growth (g)</t>
        </is>
      </c>
      <c r="B13" s="29">
        <f>Assumptions!B29</f>
        <v/>
      </c>
      <c r="E13" s="59" t="inlineStr">
        <is>
          <t>Terminal Growth (for sensitivity)</t>
        </is>
      </c>
      <c r="H13" s="29">
        <f>Sensitivity!B4</f>
        <v/>
      </c>
    </row>
    <row r="16">
      <c r="A16" s="58" t="inlineStr">
        <is>
          <t>($ in millions)</t>
        </is>
      </c>
      <c r="B16" s="58" t="inlineStr">
        <is>
          <t>2026E</t>
        </is>
      </c>
      <c r="C16" s="58" t="inlineStr">
        <is>
          <t>2027E</t>
        </is>
      </c>
      <c r="D16" s="58" t="inlineStr">
        <is>
          <t>2028E</t>
        </is>
      </c>
      <c r="E16" s="58" t="inlineStr">
        <is>
          <t>2029E</t>
        </is>
      </c>
      <c r="F16" s="58" t="inlineStr">
        <is>
          <t>2030E</t>
        </is>
      </c>
    </row>
    <row r="17">
      <c r="A17" s="58" t="inlineStr">
        <is>
          <t>Revenue</t>
        </is>
      </c>
      <c r="B17" s="14">
        <f>'Revenue Model'!G38</f>
        <v/>
      </c>
      <c r="C17" s="14">
        <f>'Revenue Model'!H38</f>
        <v/>
      </c>
      <c r="D17" s="14">
        <f>'Revenue Model'!I38</f>
        <v/>
      </c>
      <c r="E17" s="14">
        <f>'Revenue Model'!J38</f>
        <v/>
      </c>
      <c r="F17" s="14">
        <f>'Revenue Model'!K38</f>
        <v/>
      </c>
    </row>
    <row r="18">
      <c r="A18" s="58" t="inlineStr">
        <is>
          <t>COGS</t>
        </is>
      </c>
      <c r="B18" s="15">
        <f>-B17*COGS_Pct</f>
        <v/>
      </c>
      <c r="C18" s="15">
        <f>-C17*COGS_Pct</f>
        <v/>
      </c>
      <c r="D18" s="15">
        <f>-D17*COGS_Pct</f>
        <v/>
      </c>
      <c r="E18" s="15">
        <f>-E17*COGS_Pct</f>
        <v/>
      </c>
      <c r="F18" s="15">
        <f>-F17*COGS_Pct</f>
        <v/>
      </c>
    </row>
    <row r="19">
      <c r="A19" s="58" t="inlineStr">
        <is>
          <t>Operating Expense</t>
        </is>
      </c>
      <c r="B19" s="15">
        <f>-B17*Opex_Pct</f>
        <v/>
      </c>
      <c r="C19" s="15">
        <f>-C17*Opex_Pct</f>
        <v/>
      </c>
      <c r="D19" s="15">
        <f>-D17*Opex_Pct</f>
        <v/>
      </c>
      <c r="E19" s="15">
        <f>-E17*Opex_Pct</f>
        <v/>
      </c>
      <c r="F19" s="15">
        <f>-F17*Opex_Pct</f>
        <v/>
      </c>
    </row>
    <row r="20">
      <c r="A20" s="58" t="inlineStr">
        <is>
          <t>EBITDA</t>
        </is>
      </c>
      <c r="B20" s="14">
        <f>B17+B18+B19</f>
        <v/>
      </c>
      <c r="C20" s="14">
        <f>C17+C18+C19</f>
        <v/>
      </c>
      <c r="D20" s="14">
        <f>D17+D18+D19</f>
        <v/>
      </c>
      <c r="E20" s="14">
        <f>E17+E18+E19</f>
        <v/>
      </c>
      <c r="F20" s="14">
        <f>F17+F18+F19</f>
        <v/>
      </c>
    </row>
    <row r="21">
      <c r="A21" s="58" t="inlineStr">
        <is>
          <t>D&amp;A</t>
        </is>
      </c>
      <c r="B21" s="15">
        <f>B17*Assumptions!$B$20</f>
        <v/>
      </c>
      <c r="C21" s="15">
        <f>C17*Assumptions!$B$20</f>
        <v/>
      </c>
      <c r="D21" s="15">
        <f>D17*Assumptions!$B$20</f>
        <v/>
      </c>
      <c r="E21" s="15">
        <f>E17*Assumptions!$B$20</f>
        <v/>
      </c>
      <c r="F21" s="15">
        <f>F17*Assumptions!$B$20</f>
        <v/>
      </c>
    </row>
    <row r="22">
      <c r="A22" s="58" t="inlineStr">
        <is>
          <t>EBIT</t>
        </is>
      </c>
      <c r="B22" s="14">
        <f>B20-B21</f>
        <v/>
      </c>
      <c r="C22" s="14">
        <f>C20-C21</f>
        <v/>
      </c>
      <c r="D22" s="14">
        <f>D20-D21</f>
        <v/>
      </c>
      <c r="E22" s="14">
        <f>E20-E21</f>
        <v/>
      </c>
      <c r="F22" s="14">
        <f>F20-F21</f>
        <v/>
      </c>
    </row>
    <row r="23">
      <c r="A23" s="58" t="inlineStr">
        <is>
          <t>Taxes</t>
        </is>
      </c>
      <c r="B23" s="15">
        <f>IF(B22&gt;0, B22*$B$8, 0)</f>
        <v/>
      </c>
      <c r="C23" s="15">
        <f>IF(C22&gt;0, C22*$B$8, 0)</f>
        <v/>
      </c>
      <c r="D23" s="15">
        <f>IF(D22&gt;0, D22*$B$8, 0)</f>
        <v/>
      </c>
      <c r="E23" s="15">
        <f>IF(E22&gt;0, E22*$B$8, 0)</f>
        <v/>
      </c>
      <c r="F23" s="15">
        <f>IF(F22&gt;0, F22*$B$8, 0)</f>
        <v/>
      </c>
    </row>
    <row r="24">
      <c r="A24" s="58" t="inlineStr">
        <is>
          <t>NOPAT</t>
        </is>
      </c>
      <c r="B24" s="14">
        <f>B22+B23</f>
        <v/>
      </c>
      <c r="C24" s="14">
        <f>C22+C23</f>
        <v/>
      </c>
      <c r="D24" s="14">
        <f>D22+D23</f>
        <v/>
      </c>
      <c r="E24" s="14">
        <f>E22+E23</f>
        <v/>
      </c>
      <c r="F24" s="14">
        <f>F22+F23</f>
        <v/>
      </c>
    </row>
    <row r="25">
      <c r="A25" s="58" t="inlineStr">
        <is>
          <t>CapEx</t>
        </is>
      </c>
      <c r="B25" s="15">
        <f>-B17*Capex_Pct</f>
        <v/>
      </c>
      <c r="C25" s="15">
        <f>-C17*Capex_Pct</f>
        <v/>
      </c>
      <c r="D25" s="15">
        <f>-D17*Capex_Pct</f>
        <v/>
      </c>
      <c r="E25" s="15">
        <f>-E17*Capex_Pct</f>
        <v/>
      </c>
      <c r="F25" s="15">
        <f>-F17*Capex_Pct</f>
        <v/>
      </c>
    </row>
    <row r="26">
      <c r="A26" s="58" t="inlineStr">
        <is>
          <t>NWC</t>
        </is>
      </c>
      <c r="B26" s="15">
        <f>B17*Assumptions!$B$22</f>
        <v/>
      </c>
      <c r="C26" s="15">
        <f>C17*Assumptions!$B$22</f>
        <v/>
      </c>
      <c r="D26" s="15">
        <f>D17*Assumptions!$B$22</f>
        <v/>
      </c>
      <c r="E26" s="15">
        <f>E17*Assumptions!$B$22</f>
        <v/>
      </c>
      <c r="F26" s="15">
        <f>F17*Assumptions!$B$22</f>
        <v/>
      </c>
      <c r="H26" s="58" t="inlineStr">
        <is>
          <t>2025 NWC</t>
        </is>
      </c>
      <c r="I26" s="15">
        <f>'Revenue Model'!F38*Assumptions!B22</f>
        <v/>
      </c>
    </row>
    <row r="27">
      <c r="A27" s="58" t="inlineStr">
        <is>
          <t>Change in NWC</t>
        </is>
      </c>
      <c r="B27" s="15">
        <f>B26-$I$26</f>
        <v/>
      </c>
      <c r="C27" s="15">
        <f>C26-B26</f>
        <v/>
      </c>
      <c r="D27" s="15">
        <f>D26-C26</f>
        <v/>
      </c>
      <c r="E27" s="15">
        <f>E26-D26</f>
        <v/>
      </c>
      <c r="F27" s="15">
        <f>F26-E26</f>
        <v/>
      </c>
    </row>
    <row r="28">
      <c r="A28" s="1" t="inlineStr">
        <is>
          <t>FCFF</t>
        </is>
      </c>
      <c r="B28" s="14">
        <f>B24+B21+B25-B27</f>
        <v/>
      </c>
      <c r="C28" s="14">
        <f>C24+C21+C25-C27</f>
        <v/>
      </c>
      <c r="D28" s="14">
        <f>D24+D21+D25-D27</f>
        <v/>
      </c>
      <c r="E28" s="14">
        <f>E24+E21+E25-E27</f>
        <v/>
      </c>
      <c r="F28" s="14">
        <f>F24+F21+F25-F27</f>
        <v/>
      </c>
    </row>
    <row r="30">
      <c r="A30" s="58" t="inlineStr">
        <is>
          <t>Discount Factor</t>
        </is>
      </c>
      <c r="B30" s="38">
        <f>1/(1+$H$12)^1</f>
        <v/>
      </c>
      <c r="C30" s="38">
        <f>1/(1+$H$12)^2</f>
        <v/>
      </c>
      <c r="D30" s="38">
        <f>1/(1+$H$12)^3</f>
        <v/>
      </c>
      <c r="E30" s="38">
        <f>1/(1+$H$12)^4</f>
        <v/>
      </c>
      <c r="F30" s="38">
        <f>1/(1+$H$12)^5</f>
        <v/>
      </c>
    </row>
    <row r="31">
      <c r="A31" s="1" t="inlineStr">
        <is>
          <t>PV of FCFF</t>
        </is>
      </c>
      <c r="B31" s="39">
        <f>B28*B30</f>
        <v/>
      </c>
      <c r="C31" s="39">
        <f>C28*C30</f>
        <v/>
      </c>
      <c r="D31" s="39">
        <f>D28*D30</f>
        <v/>
      </c>
      <c r="E31" s="39">
        <f>E28*E30</f>
        <v/>
      </c>
      <c r="F31" s="39">
        <f>F28*F30</f>
        <v/>
      </c>
    </row>
    <row r="33">
      <c r="A33" s="58" t="inlineStr">
        <is>
          <t>Terminal Value (at 2030)</t>
        </is>
      </c>
      <c r="B33" s="39">
        <f>F28*(1+$H$13)/($H$12-$H$13)</f>
        <v/>
      </c>
    </row>
    <row r="34">
      <c r="A34" s="58" t="inlineStr">
        <is>
          <t>PV of Terminal Value</t>
        </is>
      </c>
      <c r="B34" s="39">
        <f>B33*F30</f>
        <v/>
      </c>
    </row>
    <row r="36">
      <c r="A36" s="58" t="inlineStr">
        <is>
          <t>Enterprise Value</t>
        </is>
      </c>
      <c r="B36" s="39">
        <f>SUM(B31:F31)+B34</f>
        <v/>
      </c>
      <c r="H36" s="39" t="n"/>
    </row>
    <row r="38">
      <c r="A38" s="58" t="inlineStr">
        <is>
          <t>Total Debt (2025)</t>
        </is>
      </c>
      <c r="B38" s="14">
        <f>'Historical Finances'!F38+'Historical Finances'!F40</f>
        <v/>
      </c>
      <c r="H38" s="39" t="n"/>
    </row>
    <row r="39">
      <c r="A39" s="58" t="inlineStr">
        <is>
          <t>Cash (2025)</t>
        </is>
      </c>
      <c r="B39" s="14">
        <f>'Historical Finances'!F21</f>
        <v/>
      </c>
    </row>
    <row r="40" ht="34" customHeight="1">
      <c r="A40" s="11" t="inlineStr">
        <is>
          <t>Short-Term Investments (2025)</t>
        </is>
      </c>
      <c r="B40" s="14">
        <f>'Historical Finances'!F22</f>
        <v/>
      </c>
    </row>
    <row r="41" ht="34" customHeight="1">
      <c r="A41" s="11" t="inlineStr">
        <is>
          <t>Net Debt (Debt-Cash-STI)</t>
        </is>
      </c>
      <c r="B41" s="15">
        <f>B38-B39-B40</f>
        <v/>
      </c>
    </row>
    <row r="43">
      <c r="A43" s="58" t="inlineStr">
        <is>
          <t>Equity Value</t>
        </is>
      </c>
      <c r="B43" s="39">
        <f>B36-B41</f>
        <v/>
      </c>
    </row>
  </sheetData>
  <mergeCells count="4">
    <mergeCell ref="C7:E7"/>
    <mergeCell ref="E12:G12"/>
    <mergeCell ref="C6:E6"/>
    <mergeCell ref="E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J20" sqref="J20"/>
    </sheetView>
  </sheetViews>
  <sheetFormatPr baseColWidth="10" defaultRowHeight="16"/>
  <cols>
    <col width="18.33203125" customWidth="1" style="58" min="1" max="1"/>
    <col width="11.5" customWidth="1" style="58" min="2" max="2"/>
    <col width="12.1640625" bestFit="1" customWidth="1" style="58" min="3" max="8"/>
    <col width="10.83203125" customWidth="1" style="58" min="9" max="16384"/>
  </cols>
  <sheetData>
    <row r="1">
      <c r="A1" s="1" t="inlineStr">
        <is>
          <t>Sensitivity Analysis</t>
        </is>
      </c>
    </row>
    <row r="2" ht="17" customHeight="1" thickBot="1">
      <c r="A2" s="1" t="inlineStr">
        <is>
          <t>Base Case Valuation</t>
        </is>
      </c>
    </row>
    <row r="3">
      <c r="A3" s="40" t="inlineStr">
        <is>
          <t>WACC (Sensitivity)</t>
        </is>
      </c>
      <c r="B3" s="41">
        <f>'DCF Valuation'!B12</f>
        <v/>
      </c>
    </row>
    <row r="4" ht="35" customHeight="1" thickBot="1">
      <c r="A4" s="42" t="inlineStr">
        <is>
          <t>Terminal Growth (Sensitivity)</t>
        </is>
      </c>
      <c r="B4" s="43">
        <f>'DCF Valuation'!B13</f>
        <v/>
      </c>
      <c r="C4" s="39" t="n"/>
    </row>
    <row r="5">
      <c r="B5" s="39" t="n"/>
      <c r="C5" s="44" t="n"/>
      <c r="D5" s="44" t="n"/>
      <c r="E5" s="44" t="n"/>
      <c r="F5" s="44" t="n"/>
      <c r="G5" s="44" t="n"/>
      <c r="H5" s="44" t="n"/>
      <c r="I5" s="44" t="n"/>
    </row>
    <row r="6">
      <c r="A6" s="39">
        <f>'DCF Valuation'!B36</f>
        <v/>
      </c>
      <c r="B6" s="45" t="n">
        <v>0.06</v>
      </c>
      <c r="C6" s="45" t="n">
        <v>0.065</v>
      </c>
      <c r="D6" s="45" t="n">
        <v>0.07000000000000001</v>
      </c>
      <c r="E6" s="45" t="n">
        <v>0.075</v>
      </c>
      <c r="F6" s="45" t="n">
        <v>0.08</v>
      </c>
      <c r="G6" s="45" t="n">
        <v>0.08500000000000001</v>
      </c>
      <c r="H6" s="45" t="n">
        <v>0.09</v>
      </c>
      <c r="I6" s="46" t="n"/>
    </row>
    <row r="7">
      <c r="A7" s="47" t="n">
        <v>0.015</v>
      </c>
      <c r="B7" s="46">
        <f t="dataTable" ref="B7:H11" dt2D="1" dtr="1" r1="B3" r2="B4" ca="1"/>
        <v/>
      </c>
      <c r="C7" s="46" t="n">
        <v>127926.5359071106</v>
      </c>
      <c r="D7" s="46" t="n">
        <v>116229.1746932271</v>
      </c>
      <c r="E7" s="46" t="n">
        <v>106482.5115244061</v>
      </c>
      <c r="F7" s="46" t="n">
        <v>98236.36007233872</v>
      </c>
      <c r="G7" s="46" t="n">
        <v>91169.15935843247</v>
      </c>
      <c r="H7" s="46" t="n">
        <v>85045.09861545701</v>
      </c>
      <c r="I7" s="46" t="n"/>
    </row>
    <row r="8" ht="17" customHeight="1" thickBot="1">
      <c r="A8" s="47" t="n">
        <v>0.02</v>
      </c>
      <c r="B8" s="46" t="n">
        <v>157258.6769571091</v>
      </c>
      <c r="C8" s="46" t="n">
        <v>139729.310657119</v>
      </c>
      <c r="D8" s="46" t="n">
        <v>125706.7504283666</v>
      </c>
      <c r="E8" s="46" t="n">
        <v>114234.5741268409</v>
      </c>
      <c r="F8" s="46" t="n">
        <v>104675.1675411336</v>
      </c>
      <c r="G8" s="46" t="n">
        <v>96587.10593938746</v>
      </c>
      <c r="H8" s="46" t="n">
        <v>89655.08638246931</v>
      </c>
      <c r="I8" s="46" t="n"/>
    </row>
    <row r="9" ht="17" customHeight="1" thickBot="1">
      <c r="A9" s="47" t="n">
        <v>0.025</v>
      </c>
      <c r="B9" s="46" t="n">
        <v>176587.8632326338</v>
      </c>
      <c r="C9" s="46" t="n">
        <v>154482.7790946295</v>
      </c>
      <c r="D9" s="48" t="n">
        <v>137290.4541046481</v>
      </c>
      <c r="E9" s="46" t="n">
        <v>123537.0492497626</v>
      </c>
      <c r="F9" s="46" t="n">
        <v>112284.667276982</v>
      </c>
      <c r="G9" s="46" t="n">
        <v>102908.0436171683</v>
      </c>
      <c r="H9" s="46" t="n">
        <v>94974.30303671426</v>
      </c>
    </row>
    <row r="10">
      <c r="A10" s="47" t="n">
        <v>0.03</v>
      </c>
      <c r="B10" s="46" t="n">
        <v>202360.1116000001</v>
      </c>
      <c r="C10" s="46" t="n">
        <v>173451.5242285717</v>
      </c>
      <c r="D10" s="46" t="n">
        <v>151770.0837000001</v>
      </c>
      <c r="E10" s="46" t="n">
        <v>134906.7410666668</v>
      </c>
      <c r="F10" s="46" t="n">
        <v>121416.0669600001</v>
      </c>
      <c r="G10" s="46" t="n">
        <v>110378.2426909092</v>
      </c>
      <c r="H10" s="46" t="n">
        <v>101180.0558000001</v>
      </c>
    </row>
    <row r="11">
      <c r="A11" s="47" t="n">
        <v>0.035</v>
      </c>
      <c r="B11" s="46" t="n">
        <v>238441.2593143131</v>
      </c>
      <c r="C11" s="46" t="n">
        <v>198743.1844071611</v>
      </c>
      <c r="D11" s="46" t="n">
        <v>170386.7503225955</v>
      </c>
      <c r="E11" s="46" t="n">
        <v>149118.8558377972</v>
      </c>
      <c r="F11" s="46" t="n">
        <v>132576.6665725778</v>
      </c>
      <c r="G11" s="46" t="n">
        <v>119342.4815793983</v>
      </c>
      <c r="H11" s="46" t="n">
        <v>108514.1272475196</v>
      </c>
    </row>
    <row r="15" ht="17" customHeight="1" thickBot="1"/>
    <row r="16" ht="34" customHeight="1" thickBot="1">
      <c r="A16" s="49" t="inlineStr">
        <is>
          <t>EBITDA Margin (Sensitivity)</t>
        </is>
      </c>
      <c r="B16" s="50" t="n">
        <v>0.02</v>
      </c>
    </row>
    <row r="18" ht="17" customHeight="1" thickBot="1">
      <c r="A18" s="39">
        <f>'DCF Valuation'!B36</f>
        <v/>
      </c>
      <c r="B18" s="51" t="n">
        <v>0.06</v>
      </c>
      <c r="C18" s="51" t="n">
        <v>0.065</v>
      </c>
      <c r="D18" s="51" t="n">
        <v>0.07000000000000001</v>
      </c>
      <c r="E18" s="51" t="n">
        <v>0.075</v>
      </c>
      <c r="F18" s="51" t="n">
        <v>0.08</v>
      </c>
      <c r="G18" s="51" t="n">
        <v>0.08500000000000001</v>
      </c>
      <c r="H18" s="51" t="n">
        <v>0.09</v>
      </c>
    </row>
    <row r="19" ht="17" customHeight="1" thickBot="1">
      <c r="A19" s="51" t="n">
        <v>0.02</v>
      </c>
      <c r="B19" s="39">
        <f t="dataTable" ref="B19:H23" dt2D="1" dtr="1" r1="B3" r2="B16"/>
        <v/>
      </c>
      <c r="C19" s="39" t="n">
        <v>154482.7790946295</v>
      </c>
      <c r="D19" s="52" t="n">
        <v>137290.4541046481</v>
      </c>
      <c r="E19" s="39" t="n">
        <v>123537.0492497626</v>
      </c>
      <c r="F19" s="39" t="n">
        <v>112284.667276982</v>
      </c>
      <c r="G19" s="39" t="n">
        <v>102908.0436171683</v>
      </c>
      <c r="H19" s="39" t="n">
        <v>94974.30303671426</v>
      </c>
    </row>
    <row r="20">
      <c r="A20" s="51" t="n">
        <v>0.03</v>
      </c>
      <c r="B20" s="39" t="n">
        <v>176587.8632326338</v>
      </c>
      <c r="C20" s="53" t="n">
        <v>154482.7790946295</v>
      </c>
      <c r="D20" s="53" t="n">
        <v>137290.4541046481</v>
      </c>
      <c r="E20" s="53" t="n">
        <v>123537.0492497626</v>
      </c>
      <c r="F20" s="53" t="n">
        <v>112284.667276982</v>
      </c>
      <c r="G20" s="53" t="n">
        <v>102908.0436171683</v>
      </c>
      <c r="H20" s="53" t="n">
        <v>94974.30303671426</v>
      </c>
      <c r="I20" s="44" t="n"/>
    </row>
    <row r="21">
      <c r="A21" s="51" t="n">
        <v>0.04</v>
      </c>
      <c r="B21" s="39" t="n">
        <v>176587.8632326338</v>
      </c>
      <c r="C21" s="39" t="n">
        <v>154482.7790946295</v>
      </c>
      <c r="D21" s="39" t="n">
        <v>137290.4541046481</v>
      </c>
      <c r="E21" s="39" t="n">
        <v>123537.0492497626</v>
      </c>
      <c r="F21" s="39" t="n">
        <v>112284.667276982</v>
      </c>
      <c r="G21" s="39" t="n">
        <v>102908.0436171683</v>
      </c>
      <c r="H21" s="39" t="n">
        <v>94974.30303671426</v>
      </c>
      <c r="I21" s="46" t="n"/>
    </row>
    <row r="22">
      <c r="A22" s="51" t="n">
        <v>0.05</v>
      </c>
      <c r="B22" s="39" t="n">
        <v>176587.8632326338</v>
      </c>
      <c r="C22" s="39" t="n">
        <v>154482.7790946295</v>
      </c>
      <c r="D22" s="39" t="n">
        <v>137290.4541046481</v>
      </c>
      <c r="E22" s="39" t="n">
        <v>123537.0492497626</v>
      </c>
      <c r="F22" s="39" t="n">
        <v>112284.667276982</v>
      </c>
      <c r="G22" s="39" t="n">
        <v>102908.0436171683</v>
      </c>
      <c r="H22" s="39" t="n">
        <v>94974.30303671426</v>
      </c>
      <c r="I22" s="46" t="n"/>
    </row>
    <row r="23">
      <c r="A23" s="51" t="n">
        <v>0.06</v>
      </c>
      <c r="B23" s="39" t="n">
        <v>176587.8632326338</v>
      </c>
      <c r="C23" s="39" t="n">
        <v>154482.7790946295</v>
      </c>
      <c r="D23" s="39" t="n">
        <v>137290.4541046481</v>
      </c>
      <c r="E23" s="39" t="n">
        <v>123537.0492497626</v>
      </c>
      <c r="F23" s="39" t="n">
        <v>112284.667276982</v>
      </c>
      <c r="G23" s="39" t="n">
        <v>102908.0436171683</v>
      </c>
      <c r="H23" s="39" t="n">
        <v>94974.30303671426</v>
      </c>
      <c r="I23" s="46" t="n"/>
    </row>
    <row r="24">
      <c r="B24" s="29" t="n"/>
      <c r="C24" s="46" t="n"/>
      <c r="D24" s="46" t="n"/>
      <c r="E24" s="46" t="n"/>
      <c r="F24" s="46" t="n"/>
      <c r="G24" s="46" t="n"/>
      <c r="H24" s="46" t="n"/>
      <c r="I24" s="46" t="n"/>
    </row>
    <row r="25">
      <c r="B25" s="29" t="n"/>
      <c r="C25" s="46" t="n"/>
      <c r="D25" s="46" t="n"/>
      <c r="E25" s="46" t="n"/>
      <c r="F25" s="46" t="n"/>
      <c r="G25" s="46" t="n"/>
      <c r="H25" s="46" t="n"/>
      <c r="I25" s="46" t="n"/>
    </row>
  </sheetData>
  <conditionalFormatting sqref="B7:H11">
    <cfRule type="colorScale" priority="3">
      <colorScale>
        <cfvo type="min"/>
        <cfvo type="max"/>
        <color rgb="FFFC6263"/>
        <color theme="9" tint="0.5999938962981048"/>
      </colorScale>
    </cfRule>
  </conditionalFormatting>
  <conditionalFormatting sqref="B19:H22">
    <cfRule type="colorScale" priority="5">
      <colorScale>
        <cfvo type="min"/>
        <cfvo type="max"/>
        <color rgb="FFFC6263"/>
        <color theme="9" tint="0.5999938962981048"/>
      </colorScale>
    </cfRule>
  </conditionalFormatting>
  <conditionalFormatting sqref="B19:H23">
    <cfRule type="colorScale" priority="1">
      <colorScale>
        <cfvo type="min"/>
        <cfvo type="max"/>
        <color rgb="FFFE7F84"/>
        <color theme="9" tint="0.599993896298104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R50"/>
  <sheetViews>
    <sheetView topLeftCell="A2" zoomScale="64" zoomScaleNormal="50" workbookViewId="0">
      <selection activeCell="E4" sqref="E4"/>
    </sheetView>
  </sheetViews>
  <sheetFormatPr baseColWidth="10" defaultRowHeight="16"/>
  <cols>
    <col width="18.83203125" customWidth="1" style="58" min="1" max="1"/>
    <col width="10.83203125" customWidth="1" style="58" min="2" max="6"/>
    <col width="13.83203125" customWidth="1" style="58" min="7" max="7"/>
    <col width="11" customWidth="1" style="58" min="8" max="8"/>
    <col width="10.83203125" customWidth="1" style="58" min="9" max="9"/>
    <col width="10.83203125" customWidth="1" style="58" min="10" max="16384"/>
  </cols>
  <sheetData>
    <row r="2" ht="20" customHeight="1">
      <c r="A2" s="60" t="inlineStr">
        <is>
          <t>Valuation Summary</t>
        </is>
      </c>
      <c r="G2" s="1" t="inlineStr">
        <is>
          <t>Key Assumptions</t>
        </is>
      </c>
    </row>
    <row r="4">
      <c r="A4" s="58" t="inlineStr">
        <is>
          <t>Enterprise Value</t>
        </is>
      </c>
      <c r="B4" s="39">
        <f>'DCF Valuation'!B36</f>
        <v/>
      </c>
      <c r="D4" s="58" t="inlineStr">
        <is>
          <t>Scenario</t>
        </is>
      </c>
      <c r="E4" s="58" t="inlineStr">
        <is>
          <t>Bull</t>
        </is>
      </c>
      <c r="G4" s="58" t="inlineStr">
        <is>
          <t>Scenario</t>
        </is>
      </c>
      <c r="H4" s="58">
        <f>E4</f>
        <v/>
      </c>
    </row>
    <row r="5">
      <c r="A5" s="58" t="inlineStr">
        <is>
          <t>Equity Value</t>
        </is>
      </c>
      <c r="B5" s="39">
        <f>'DCF Valuation'!B43</f>
        <v/>
      </c>
      <c r="G5" s="58" t="inlineStr">
        <is>
          <t>WACC</t>
        </is>
      </c>
      <c r="H5" s="29">
        <f>'DCF Valuation'!B12</f>
        <v/>
      </c>
    </row>
    <row r="6" ht="34" customHeight="1">
      <c r="A6" s="11" t="inlineStr">
        <is>
          <t>Implied Upside/(Downside)</t>
        </is>
      </c>
      <c r="G6" s="11" t="inlineStr">
        <is>
          <t>Terminal Growth</t>
        </is>
      </c>
      <c r="H6" s="29">
        <f>'DCF Valuation'!B13</f>
        <v/>
      </c>
    </row>
    <row r="7" ht="51" customHeight="1">
      <c r="G7" s="54" t="inlineStr">
        <is>
          <t>Revenue CAGR (2025-2030)</t>
        </is>
      </c>
      <c r="H7" s="35">
        <f>'Revenue Model'!B42</f>
        <v/>
      </c>
      <c r="I7" s="35" t="n"/>
      <c r="J7" s="35" t="n"/>
      <c r="K7" s="35" t="n"/>
      <c r="L7" s="35" t="n"/>
      <c r="M7" s="35" t="n"/>
      <c r="N7" s="35" t="n"/>
    </row>
    <row r="8" ht="53" customHeight="1">
      <c r="G8" s="55" t="inlineStr">
        <is>
          <t>EBITDA Margin (Steady-State)</t>
        </is>
      </c>
      <c r="H8" s="56">
        <f>'Cost Margin'!K10</f>
        <v/>
      </c>
      <c r="I8" s="46" t="n"/>
      <c r="J8" s="46" t="n"/>
      <c r="K8" s="46" t="n"/>
      <c r="L8" s="46" t="n"/>
      <c r="M8" s="46" t="n"/>
      <c r="N8" s="46" t="n"/>
    </row>
    <row r="9">
      <c r="G9" s="29" t="n"/>
      <c r="H9" s="46" t="n"/>
      <c r="I9" s="46" t="n"/>
      <c r="J9" s="46" t="n"/>
      <c r="K9" s="46" t="n"/>
      <c r="L9" s="46" t="n"/>
      <c r="M9" s="46" t="n"/>
      <c r="N9" s="46" t="n"/>
      <c r="O9" s="35" t="n"/>
      <c r="P9" s="35" t="n"/>
      <c r="Q9" s="35" t="n"/>
      <c r="R9" s="35" t="n"/>
    </row>
    <row r="10">
      <c r="G10" s="29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</row>
    <row r="11">
      <c r="E11" s="39" t="n"/>
      <c r="F11" s="45" t="n"/>
      <c r="G11" s="45" t="n"/>
      <c r="H11" s="45" t="n"/>
      <c r="I11" s="45" t="n"/>
      <c r="J11" s="45" t="n"/>
      <c r="K11" s="45" t="n"/>
      <c r="L11" s="45" t="n"/>
      <c r="M11" s="46" t="n"/>
      <c r="N11" s="46" t="n"/>
      <c r="O11" s="46" t="n"/>
      <c r="P11" s="46" t="n"/>
      <c r="Q11" s="46" t="n"/>
      <c r="R11" s="46" t="n"/>
    </row>
    <row r="12">
      <c r="E12" s="47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</row>
    <row r="13">
      <c r="E13" s="47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</row>
    <row r="14">
      <c r="E14" s="47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</row>
    <row r="15">
      <c r="E15" s="47" t="n"/>
      <c r="F15" s="46" t="n"/>
      <c r="G15" s="46" t="n"/>
      <c r="H15" s="46" t="n"/>
      <c r="I15" s="46" t="n"/>
      <c r="J15" s="46" t="n"/>
      <c r="K15" s="46" t="n"/>
      <c r="L15" s="46" t="n"/>
    </row>
    <row r="16">
      <c r="E16" s="47" t="n"/>
      <c r="F16" s="46" t="n"/>
      <c r="G16" s="46" t="n"/>
      <c r="H16" s="46" t="n"/>
      <c r="I16" s="46" t="n"/>
      <c r="J16" s="46" t="n"/>
      <c r="K16" s="46" t="n"/>
      <c r="L16" s="46" t="n"/>
    </row>
    <row r="17">
      <c r="E17" s="29" t="n"/>
      <c r="F17" s="46" t="n"/>
      <c r="G17" s="46" t="n"/>
      <c r="H17" s="46" t="n"/>
      <c r="I17" s="46" t="n"/>
      <c r="J17" s="46" t="n"/>
      <c r="K17" s="46" t="n"/>
      <c r="L17" s="46" t="n"/>
    </row>
    <row r="18">
      <c r="I18" s="29" t="n"/>
      <c r="J18" s="46" t="n"/>
      <c r="K18" s="46" t="n"/>
      <c r="L18" s="46" t="n"/>
    </row>
    <row r="45">
      <c r="A45" s="39" t="n">
        <v>5780.245964556834</v>
      </c>
      <c r="B45" s="45" t="n">
        <v>0.06</v>
      </c>
      <c r="C45" s="45" t="n">
        <v>0.065</v>
      </c>
      <c r="D45" s="45" t="n">
        <v>0.07000000000000001</v>
      </c>
      <c r="E45" s="45" t="n">
        <v>0.075</v>
      </c>
      <c r="F45" s="45" t="n">
        <v>0.08</v>
      </c>
      <c r="G45" s="45" t="n">
        <v>0.08500000000000001</v>
      </c>
      <c r="H45" s="45" t="n">
        <v>0.09</v>
      </c>
    </row>
    <row r="46">
      <c r="A46" s="47" t="n">
        <v>0.015</v>
      </c>
      <c r="B46" s="46" t="n">
        <v>5940.00698266388</v>
      </c>
      <c r="C46" s="46" t="n">
        <v>5342.838710857341</v>
      </c>
      <c r="D46" s="46" t="n">
        <v>4854.299614060421</v>
      </c>
      <c r="E46" s="46" t="n">
        <v>4447.231221949211</v>
      </c>
      <c r="F46" s="46" t="n">
        <v>4102.831548485921</v>
      </c>
      <c r="G46" s="46" t="n">
        <v>3807.670632231027</v>
      </c>
      <c r="H46" s="46" t="n">
        <v>3551.89986056744</v>
      </c>
    </row>
    <row r="47" ht="17" customHeight="1" thickBot="1">
      <c r="A47" s="47" t="n">
        <v>0.02</v>
      </c>
      <c r="B47" s="46" t="n">
        <v>6567.892586998063</v>
      </c>
      <c r="C47" s="46" t="n">
        <v>5835.780393227795</v>
      </c>
      <c r="D47" s="46" t="n">
        <v>5250.12959697776</v>
      </c>
      <c r="E47" s="46" t="n">
        <v>4770.995325054078</v>
      </c>
      <c r="F47" s="46" t="n">
        <v>4371.747685017706</v>
      </c>
      <c r="G47" s="46" t="n">
        <v>4033.950618012107</v>
      </c>
      <c r="H47" s="46" t="n">
        <v>3744.435528976823</v>
      </c>
    </row>
    <row r="48" ht="17" customHeight="1" thickBot="1">
      <c r="A48" s="47" t="n">
        <v>0.025</v>
      </c>
      <c r="B48" s="46" t="n">
        <v>7375.174078284866</v>
      </c>
      <c r="C48" s="46" t="n">
        <v>6451.95749619086</v>
      </c>
      <c r="D48" s="48" t="n">
        <v>5733.921798321174</v>
      </c>
      <c r="E48" s="46" t="n">
        <v>5159.512248779917</v>
      </c>
      <c r="F48" s="46" t="n">
        <v>4689.557664555267</v>
      </c>
      <c r="G48" s="46" t="n">
        <v>4297.943934756699</v>
      </c>
      <c r="H48" s="46" t="n">
        <v>3966.592069449185</v>
      </c>
    </row>
    <row r="49">
      <c r="A49" s="47" t="n">
        <v>0.03</v>
      </c>
      <c r="B49" s="46" t="n">
        <v>8451.549400000606</v>
      </c>
      <c r="C49" s="46" t="n">
        <v>7244.185200000516</v>
      </c>
      <c r="D49" s="46" t="n">
        <v>6338.662050000442</v>
      </c>
      <c r="E49" s="46" t="n">
        <v>5634.366266667056</v>
      </c>
      <c r="F49" s="46" t="n">
        <v>5070.929640000343</v>
      </c>
      <c r="G49" s="46" t="n">
        <v>4609.936036363945</v>
      </c>
      <c r="H49" s="46" t="n">
        <v>4225.774700000277</v>
      </c>
    </row>
    <row r="50">
      <c r="A50" s="47" t="n">
        <v>0.035</v>
      </c>
      <c r="B50" s="46" t="n">
        <v>9958.474850402643</v>
      </c>
      <c r="C50" s="46" t="n">
        <v>8300.488805080058</v>
      </c>
      <c r="D50" s="46" t="n">
        <v>7116.185230730928</v>
      </c>
      <c r="E50" s="46" t="n">
        <v>6227.933789025979</v>
      </c>
      <c r="F50" s="46" t="n">
        <v>5537.050943322101</v>
      </c>
      <c r="G50" s="46" t="n">
        <v>4984.326558292639</v>
      </c>
      <c r="H50" s="46" t="n">
        <v>4532.081445197022</v>
      </c>
    </row>
  </sheetData>
  <mergeCells count="1">
    <mergeCell ref="A2:B2"/>
  </mergeCells>
  <conditionalFormatting sqref="B46:H50">
    <cfRule type="colorScale" priority="1">
      <colorScale>
        <cfvo type="min"/>
        <cfvo type="max"/>
        <color rgb="FFFC6263"/>
        <color theme="9" tint="0.5999938962981048"/>
      </colorScale>
    </cfRule>
  </conditionalFormatting>
  <conditionalFormatting sqref="F12:L16">
    <cfRule type="colorScale" priority="2">
      <colorScale>
        <cfvo type="min"/>
        <cfvo type="max"/>
        <color rgb="FFFC6263"/>
        <color theme="9" tint="0.5999938962981048"/>
      </colorScale>
    </cfRule>
  </conditionalFormatting>
  <conditionalFormatting sqref="F17:L17 H9:N10 I8:N8 J17:L18 L10:R10 M11:R14">
    <cfRule type="colorScale" priority="3">
      <colorScale>
        <cfvo type="min"/>
        <cfvo type="max"/>
        <color rgb="FFFE7F84"/>
        <color theme="9" tint="0.5999938962981048"/>
      </colorScale>
    </cfRule>
  </conditionalFormatting>
  <dataValidations count="1">
    <dataValidation sqref="E4" showDropDown="0" showInputMessage="1" showErrorMessage="1" allowBlank="1" type="list">
      <formula1>"Base, Bull, Bear"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Normal="100" workbookViewId="0">
      <selection activeCell="D9" sqref="D9"/>
    </sheetView>
  </sheetViews>
  <sheetFormatPr baseColWidth="10" defaultRowHeight="16"/>
  <cols>
    <col width="10.83203125" customWidth="1" style="58" min="1" max="1"/>
    <col width="13.83203125" customWidth="1" style="58" min="2" max="2"/>
    <col width="10.83203125" customWidth="1" style="58" min="3" max="5"/>
    <col width="17.33203125" customWidth="1" style="58" min="6" max="6"/>
    <col width="12.83203125" customWidth="1" style="58" min="7" max="7"/>
    <col width="10.83203125" customWidth="1" style="58" min="8" max="16384"/>
  </cols>
  <sheetData>
    <row r="1" ht="35" customHeight="1">
      <c r="A1" s="58" t="inlineStr">
        <is>
          <t>Year</t>
        </is>
      </c>
      <c r="B1" s="58" t="inlineStr">
        <is>
          <t>Scenario</t>
        </is>
      </c>
      <c r="C1" s="58" t="inlineStr">
        <is>
          <t>Revenue</t>
        </is>
      </c>
      <c r="D1" s="58" t="inlineStr">
        <is>
          <t>EBITDA</t>
        </is>
      </c>
      <c r="E1" s="58" t="inlineStr">
        <is>
          <t>FCFF</t>
        </is>
      </c>
      <c r="F1" s="11" t="inlineStr">
        <is>
          <t>Enterprise Value (Scenario-Level)</t>
        </is>
      </c>
    </row>
    <row r="2">
      <c r="A2" s="58" t="inlineStr">
        <is>
          <t>2026E</t>
        </is>
      </c>
      <c r="B2" s="58">
        <f>'Executive Dashboard'!$E$4</f>
        <v/>
      </c>
      <c r="C2" s="14">
        <f>'Revenue Model'!G38</f>
        <v/>
      </c>
      <c r="D2" s="14">
        <f>'3-Statement Model'!G10</f>
        <v/>
      </c>
      <c r="E2" s="14">
        <f>'DCF Valuation'!B28</f>
        <v/>
      </c>
      <c r="F2" s="39">
        <f>'DCF Valuation'!$B$36</f>
        <v/>
      </c>
    </row>
    <row r="3">
      <c r="A3" s="58" t="inlineStr">
        <is>
          <t>2027E</t>
        </is>
      </c>
      <c r="B3" s="58">
        <f>'Executive Dashboard'!$E$4</f>
        <v/>
      </c>
      <c r="C3" s="14">
        <f>'Revenue Model'!H38</f>
        <v/>
      </c>
      <c r="D3" s="14">
        <f>'3-Statement Model'!H10</f>
        <v/>
      </c>
      <c r="E3" s="14">
        <f>'DCF Valuation'!C28</f>
        <v/>
      </c>
      <c r="F3" s="39">
        <f>'DCF Valuation'!$B$36</f>
        <v/>
      </c>
    </row>
    <row r="4">
      <c r="A4" s="58" t="inlineStr">
        <is>
          <t>2028E</t>
        </is>
      </c>
      <c r="B4" s="58">
        <f>'Executive Dashboard'!$E$4</f>
        <v/>
      </c>
      <c r="C4" s="14">
        <f>'Revenue Model'!I38</f>
        <v/>
      </c>
      <c r="D4" s="14">
        <f>'3-Statement Model'!I10</f>
        <v/>
      </c>
      <c r="E4" s="14">
        <f>'DCF Valuation'!D28</f>
        <v/>
      </c>
      <c r="F4" s="39">
        <f>'DCF Valuation'!$B$36</f>
        <v/>
      </c>
    </row>
    <row r="5">
      <c r="A5" s="58" t="inlineStr">
        <is>
          <t>2029E</t>
        </is>
      </c>
      <c r="B5" s="58">
        <f>'Executive Dashboard'!$E$4</f>
        <v/>
      </c>
      <c r="C5" s="14">
        <f>'Revenue Model'!J38</f>
        <v/>
      </c>
      <c r="D5" s="14">
        <f>'3-Statement Model'!J10</f>
        <v/>
      </c>
      <c r="E5" s="14">
        <f>'DCF Valuation'!E28</f>
        <v/>
      </c>
      <c r="F5" s="39">
        <f>'DCF Valuation'!$B$36</f>
        <v/>
      </c>
    </row>
    <row r="6">
      <c r="A6" s="58" t="inlineStr">
        <is>
          <t>2030E</t>
        </is>
      </c>
      <c r="B6" s="58">
        <f>'Executive Dashboard'!$E$4</f>
        <v/>
      </c>
      <c r="C6" s="14">
        <f>'Revenue Model'!K38</f>
        <v/>
      </c>
      <c r="D6" s="14">
        <f>'3-Statement Model'!K10</f>
        <v/>
      </c>
      <c r="E6" s="14">
        <f>'DCF Valuation'!F28</f>
        <v/>
      </c>
      <c r="F6" s="39">
        <f>'DCF Valuation'!$B$36</f>
        <v/>
      </c>
    </row>
    <row r="11">
      <c r="A11" s="58" t="inlineStr">
        <is>
          <t>2026E</t>
        </is>
      </c>
      <c r="B11" s="58" t="inlineStr">
        <is>
          <t>Base (Frozen)</t>
        </is>
      </c>
      <c r="C11" s="14" t="n">
        <v>283492.05</v>
      </c>
      <c r="D11" s="14" t="n">
        <v>5669.841000000004</v>
      </c>
      <c r="E11" s="14" t="n">
        <v>253.5464820000034</v>
      </c>
      <c r="F11" s="39" t="n">
        <v>5780.245964556834</v>
      </c>
    </row>
    <row r="12">
      <c r="A12" s="58" t="inlineStr">
        <is>
          <t>2027E</t>
        </is>
      </c>
      <c r="B12" s="58" t="inlineStr">
        <is>
          <t>Base (Frozen)</t>
        </is>
      </c>
      <c r="C12" s="14" t="n">
        <v>291996.8115</v>
      </c>
      <c r="D12" s="14" t="n">
        <v>5839.93623000001</v>
      </c>
      <c r="E12" s="14" t="n">
        <v>261.1528764600075</v>
      </c>
      <c r="F12" s="39" t="n">
        <v>5780.245964556834</v>
      </c>
    </row>
    <row r="13">
      <c r="A13" s="58" t="inlineStr">
        <is>
          <t>2028E</t>
        </is>
      </c>
      <c r="B13" s="58" t="inlineStr">
        <is>
          <t>Base (Frozen)</t>
        </is>
      </c>
      <c r="C13" s="14" t="n">
        <v>300756.715845</v>
      </c>
      <c r="D13" s="14" t="n">
        <v>6015.134316899992</v>
      </c>
      <c r="E13" s="14" t="n">
        <v>268.9874627537938</v>
      </c>
      <c r="F13" s="39" t="n">
        <v>5780.245964556834</v>
      </c>
    </row>
    <row r="14">
      <c r="A14" s="58" t="inlineStr">
        <is>
          <t>2029E</t>
        </is>
      </c>
      <c r="B14" s="58" t="inlineStr">
        <is>
          <t>Base (Frozen)</t>
        </is>
      </c>
      <c r="C14" s="14" t="n">
        <v>309779.41732035</v>
      </c>
      <c r="D14" s="14" t="n">
        <v>6195.588346407014</v>
      </c>
      <c r="E14" s="14" t="n">
        <v>277.0570866364251</v>
      </c>
      <c r="F14" s="39" t="n">
        <v>5780.245964556834</v>
      </c>
    </row>
    <row r="15">
      <c r="A15" s="58" t="inlineStr">
        <is>
          <t>2030E</t>
        </is>
      </c>
      <c r="B15" s="58" t="inlineStr">
        <is>
          <t>Base (Frozen)</t>
        </is>
      </c>
      <c r="C15" s="14" t="n">
        <v>319072.7998399605</v>
      </c>
      <c r="D15" s="14" t="n">
        <v>6381.455996799239</v>
      </c>
      <c r="E15" s="14" t="n">
        <v>285.368799235529</v>
      </c>
      <c r="F15" s="39" t="n">
        <v>5780.245964556834</v>
      </c>
    </row>
    <row r="21">
      <c r="A21" s="58" t="inlineStr">
        <is>
          <t>2026E</t>
        </is>
      </c>
      <c r="B21" s="58" t="inlineStr">
        <is>
          <t>Bull (Frozen)</t>
        </is>
      </c>
      <c r="C21" s="14" t="n">
        <v>287620.575</v>
      </c>
      <c r="D21" s="14" t="n">
        <v>5752.411500000002</v>
      </c>
      <c r="E21" s="14" t="n">
        <v>237.197523000003</v>
      </c>
      <c r="F21" s="39" t="n">
        <v>5697.451854284371</v>
      </c>
    </row>
    <row r="22">
      <c r="A22" s="58" t="inlineStr">
        <is>
          <t>2027E</t>
        </is>
      </c>
      <c r="B22" s="58" t="inlineStr">
        <is>
          <t>Bull (Frozen)</t>
        </is>
      </c>
      <c r="C22" s="14" t="n">
        <v>300563.5008749999</v>
      </c>
      <c r="D22" s="14" t="n">
        <v>6011.270017499999</v>
      </c>
      <c r="E22" s="14" t="n">
        <v>247.8714115350008</v>
      </c>
      <c r="F22" s="39" t="n">
        <v>5697.451854284371</v>
      </c>
    </row>
    <row r="23">
      <c r="A23" s="58" t="inlineStr">
        <is>
          <t>2028E</t>
        </is>
      </c>
      <c r="B23" s="58" t="inlineStr">
        <is>
          <t>Bull (Frozen)</t>
        </is>
      </c>
      <c r="C23" s="14" t="n">
        <v>314088.8584143749</v>
      </c>
      <c r="D23" s="14" t="n">
        <v>6281.777168287481</v>
      </c>
      <c r="E23" s="14" t="n">
        <v>259.0256250540626</v>
      </c>
      <c r="F23" s="39" t="n">
        <v>5697.451854284371</v>
      </c>
    </row>
    <row r="24">
      <c r="A24" s="58" t="inlineStr">
        <is>
          <t>2029E</t>
        </is>
      </c>
      <c r="B24" s="58" t="inlineStr">
        <is>
          <t>Bull (Frozen)</t>
        </is>
      </c>
      <c r="C24" s="14" t="n">
        <v>328222.8570430217</v>
      </c>
      <c r="D24" s="14" t="n">
        <v>6564.457140860453</v>
      </c>
      <c r="E24" s="14" t="n">
        <v>270.6817781815232</v>
      </c>
      <c r="F24" s="39" t="n">
        <v>5697.451854284371</v>
      </c>
    </row>
    <row r="25">
      <c r="A25" s="58" t="inlineStr">
        <is>
          <t>2030E</t>
        </is>
      </c>
      <c r="B25" s="58" t="inlineStr">
        <is>
          <t>Bull (Frozen)</t>
        </is>
      </c>
      <c r="C25" s="14" t="n">
        <v>342992.8856099577</v>
      </c>
      <c r="D25" s="14" t="n">
        <v>6859.857712199177</v>
      </c>
      <c r="E25" s="14" t="n">
        <v>282.8624581996946</v>
      </c>
      <c r="F25" s="39" t="n">
        <v>5697.451854284371</v>
      </c>
    </row>
    <row r="31">
      <c r="A31" s="58" t="inlineStr">
        <is>
          <t>2026E</t>
        </is>
      </c>
      <c r="B31" s="58" t="inlineStr">
        <is>
          <t>Bear (Frozen)</t>
        </is>
      </c>
      <c r="C31" s="14" t="n">
        <v>279363.525</v>
      </c>
      <c r="D31" s="14" t="n">
        <v>5587.270500000002</v>
      </c>
      <c r="E31" s="14" t="n">
        <v>269.8954410000028</v>
      </c>
      <c r="F31" s="39" t="n">
        <v>5836.690332404205</v>
      </c>
    </row>
    <row r="32">
      <c r="A32" s="58" t="inlineStr">
        <is>
          <t>2027E</t>
        </is>
      </c>
      <c r="B32" s="58" t="inlineStr">
        <is>
          <t>Bear (Frozen)</t>
        </is>
      </c>
      <c r="C32" s="14" t="n">
        <v>283553.9778749999</v>
      </c>
      <c r="D32" s="14" t="n">
        <v>5671.079557500012</v>
      </c>
      <c r="E32" s="14" t="n">
        <v>273.9438726150111</v>
      </c>
      <c r="F32" s="39" t="n">
        <v>5836.690332404205</v>
      </c>
    </row>
    <row r="33">
      <c r="A33" s="58" t="inlineStr">
        <is>
          <t>2028E</t>
        </is>
      </c>
      <c r="B33" s="58" t="inlineStr">
        <is>
          <t>Bear (Frozen)</t>
        </is>
      </c>
      <c r="C33" s="14" t="n">
        <v>287807.2875431249</v>
      </c>
      <c r="D33" s="14" t="n">
        <v>5756.145750862492</v>
      </c>
      <c r="E33" s="14" t="n">
        <v>278.0530307042206</v>
      </c>
      <c r="F33" s="39" t="n">
        <v>5836.690332404205</v>
      </c>
    </row>
    <row r="34">
      <c r="A34" s="58" t="inlineStr">
        <is>
          <t>2029E</t>
        </is>
      </c>
      <c r="B34" s="58" t="inlineStr">
        <is>
          <t>Bear (Frozen)</t>
        </is>
      </c>
      <c r="C34" s="14" t="n">
        <v>292124.3968562717</v>
      </c>
      <c r="D34" s="14" t="n">
        <v>5842.487937125432</v>
      </c>
      <c r="E34" s="14" t="n">
        <v>282.2238261647869</v>
      </c>
      <c r="F34" s="39" t="n">
        <v>5836.690332404205</v>
      </c>
    </row>
    <row r="35">
      <c r="A35" s="58" t="inlineStr">
        <is>
          <t>2030E</t>
        </is>
      </c>
      <c r="B35" s="58" t="inlineStr">
        <is>
          <t>Bear (Frozen)</t>
        </is>
      </c>
      <c r="C35" s="14" t="n">
        <v>296506.2628091158</v>
      </c>
      <c r="D35" s="14" t="n">
        <v>5930.125256182302</v>
      </c>
      <c r="E35" s="14" t="n">
        <v>286.4571835572508</v>
      </c>
      <c r="F35" s="39" t="n">
        <v>5836.690332404205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 Zheng</dc:creator>
  <dcterms:created xsi:type="dcterms:W3CDTF">2026-01-25T20:45:25Z</dcterms:created>
  <dcterms:modified xsi:type="dcterms:W3CDTF">2026-02-26T19:00:55Z</dcterms:modified>
  <cp:lastModifiedBy>May Zheng</cp:lastModifiedBy>
</cp:coreProperties>
</file>